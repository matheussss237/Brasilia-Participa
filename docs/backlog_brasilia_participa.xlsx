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Backlog" sheetId="2" state="visible" r:id="rId4"/>
    <sheet name="Cronograma" sheetId="3" state="visible" r:id="rId5"/>
    <sheet name="Escopo Funcional" sheetId="4" state="visible" r:id="rId6"/>
    <sheet name="Mocks e Dados" sheetId="5" state="visible" r:id="rId7"/>
    <sheet name="Integrações Futuras" sheetId="6" state="visible" r:id="rId8"/>
    <sheet name="Equipe" sheetId="7" state="visible" r:id="rId9"/>
    <sheet name="Testes e Aceite" sheetId="8" state="visible" r:id="rId10"/>
    <sheet name="Entregáveis" sheetId="9" state="visible" r:id="rId11"/>
    <sheet name="Fora do Escopo Atual" sheetId="10" state="visible" r:id="rId12"/>
  </sheets>
  <definedNames>
    <definedName function="false" hidden="true" localSheetId="8" name="_xlnm._FilterDatabase" vbProcedure="false">Entregáveis!$A$1:$D$12</definedName>
    <definedName function="false" hidden="true" localSheetId="6" name="_xlnm._FilterDatabase" vbProcedure="false">Equipe!$A$1:$D$5</definedName>
    <definedName function="false" hidden="true" localSheetId="3" name="_xlnm._FilterDatabase" vbProcedure="false">'Escopo Funcional'!$A$1:$E$12</definedName>
    <definedName function="false" hidden="true" localSheetId="9" name="_xlnm._FilterDatabase" vbProcedure="false">'Fora do Escopo Atual'!$A$1:$B$9</definedName>
    <definedName function="false" hidden="true" localSheetId="5" name="_xlnm._FilterDatabase" vbProcedure="false">'Integrações Futuras'!$A$1:$E$10</definedName>
    <definedName function="false" hidden="true" localSheetId="4" name="_xlnm._FilterDatabase" vbProcedure="false">'Mocks e Dados'!$A$1:$E$7</definedName>
    <definedName function="false" hidden="true" localSheetId="7" name="_xlnm._FilterDatabase" vbProcedure="false">'Testes e Aceite'!$A$1:$D$16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Papel responsável. Troque pelo nome de quem vai pegar a tarefa (ver aba Equipe).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Percentuais de esforço estimados, mantidos do modelo do professor. Ajuste conforme a equipe.</t>
        </r>
      </text>
    </comment>
  </commentList>
</comments>
</file>

<file path=xl/sharedStrings.xml><?xml version="1.0" encoding="utf-8"?>
<sst xmlns="http://schemas.openxmlformats.org/spreadsheetml/2006/main" count="903" uniqueCount="520">
  <si>
    <t xml:space="preserve">Brasília Participa — Backlog e Cronograma</t>
  </si>
  <si>
    <t xml:space="preserve">Campo</t>
  </si>
  <si>
    <t xml:space="preserve">Descrição</t>
  </si>
  <si>
    <t xml:space="preserve">Marcos do projeto</t>
  </si>
  <si>
    <t xml:space="preserve">Tipo</t>
  </si>
  <si>
    <t xml:space="preserve">GovTech / Cidadania / Cidades Inteligentes</t>
  </si>
  <si>
    <t xml:space="preserve">Sprint</t>
  </si>
  <si>
    <t xml:space="preserve">Marco</t>
  </si>
  <si>
    <t xml:space="preserve">Resultado</t>
  </si>
  <si>
    <t xml:space="preserve">Status</t>
  </si>
  <si>
    <t xml:space="preserve">Observação</t>
  </si>
  <si>
    <t xml:space="preserve">Tema</t>
  </si>
  <si>
    <t xml:space="preserve">Participação cidadã no registro e acompanhamento de demandas urbanas no Distrito Federal.</t>
  </si>
  <si>
    <t xml:space="preserve">Sprint 3</t>
  </si>
  <si>
    <t xml:space="preserve">M1</t>
  </si>
  <si>
    <t xml:space="preserve">Home, listagem de demandas, busca e filtro por status.</t>
  </si>
  <si>
    <t xml:space="preserve">Em andamento</t>
  </si>
  <si>
    <t xml:space="preserve">Faltam filtros por região e categoria (BL16, BL17).</t>
  </si>
  <si>
    <t xml:space="preserve">Visão</t>
  </si>
  <si>
    <t xml:space="preserve">Portal web para registrar, mapear, apoiar e acompanhar demandas urbanas nas Regiões Administrativas do DF, com transparência visual e gamificação.</t>
  </si>
  <si>
    <t xml:space="preserve">Sprint 4</t>
  </si>
  <si>
    <t xml:space="preserve">M2</t>
  </si>
  <si>
    <t xml:space="preserve">Mapa Leaflet com pins, detalhe e apoio.</t>
  </si>
  <si>
    <t xml:space="preserve">Concluído</t>
  </si>
  <si>
    <t xml:space="preserve">Apoio pelo mapa fica como melhoria (BL22).</t>
  </si>
  <si>
    <t xml:space="preserve">Instituição</t>
  </si>
  <si>
    <t xml:space="preserve">UniCEPLAC — Engenharia de Software — Projeto Integrado de Certificação em Governança e Gestão de TI (Prof. Hudson Silva Neves)</t>
  </si>
  <si>
    <t xml:space="preserve">Sprint 6</t>
  </si>
  <si>
    <t xml:space="preserve">M3</t>
  </si>
  <si>
    <t xml:space="preserve">Nova demanda com foto, ponto no mapa, login e cadastro.</t>
  </si>
  <si>
    <t xml:space="preserve">Faltam login obrigatório (BL25) e Wizard (BL30).</t>
  </si>
  <si>
    <t xml:space="preserve">Equipe</t>
  </si>
  <si>
    <t xml:space="preserve">11 alunos (ver aba Equipe)</t>
  </si>
  <si>
    <t xml:space="preserve">Sprint 8</t>
  </si>
  <si>
    <t xml:space="preserve">M4</t>
  </si>
  <si>
    <t xml:space="preserve">Dashboard com ranking, gráficos e gamificação.</t>
  </si>
  <si>
    <t xml:space="preserve">Indicadores prontos; faltam BL34–BL37.</t>
  </si>
  <si>
    <t xml:space="preserve">Foco atual</t>
  </si>
  <si>
    <t xml:space="preserve">Front-end estático com dados persistidos no localStorage (js/store.js).</t>
  </si>
  <si>
    <t xml:space="preserve">Sprint 11</t>
  </si>
  <si>
    <t xml:space="preserve">M5</t>
  </si>
  <si>
    <t xml:space="preserve">API REST e modelagem MongoDB documentadas.</t>
  </si>
  <si>
    <t xml:space="preserve">Planejado</t>
  </si>
  <si>
    <t xml:space="preserve">Frontend</t>
  </si>
  <si>
    <t xml:space="preserve">HTML5, CSS3, JavaScript vanilla e Leaflet 1.9.4 (mapa)</t>
  </si>
  <si>
    <t xml:space="preserve">Sprint 12</t>
  </si>
  <si>
    <t xml:space="preserve">M6</t>
  </si>
  <si>
    <t xml:space="preserve">MVP testado, documentado e apresentado.</t>
  </si>
  <si>
    <t xml:space="preserve">Backend</t>
  </si>
  <si>
    <t xml:space="preserve">Planejado em Java + Spring Boot + MongoDB; ainda não existe neste repositório. Nesta etapa, apenas a documentação da integração.</t>
  </si>
  <si>
    <t xml:space="preserve">Dados</t>
  </si>
  <si>
    <t xml:space="preserve">Seed de demandas, categorias e RAs em js/store.js; votos, sessão e tema no localStorage.</t>
  </si>
  <si>
    <t xml:space="preserve">Publicação</t>
  </si>
  <si>
    <t xml:space="preserve">https://matheussss237.github.io/Brasilia-Participa/</t>
  </si>
  <si>
    <t xml:space="preserve">Progresso do backlog</t>
  </si>
  <si>
    <t xml:space="preserve">Quantidade</t>
  </si>
  <si>
    <t xml:space="preserve">Total de itens</t>
  </si>
  <si>
    <t xml:space="preserve">Não iniciado</t>
  </si>
  <si>
    <t xml:space="preserve">Bloqueado</t>
  </si>
  <si>
    <t xml:space="preserve">% concluído</t>
  </si>
  <si>
    <t xml:space="preserve">Como usar: altere o Status na aba Backlog pela lista suspensa; o progresso acima é recalculado sozinho. Na coluna Responsável, troque o papel pelo nome do integrante.</t>
  </si>
  <si>
    <t xml:space="preserve">ID</t>
  </si>
  <si>
    <t xml:space="preserve">Épico</t>
  </si>
  <si>
    <t xml:space="preserve">Item do backlog</t>
  </si>
  <si>
    <t xml:space="preserve">Prioridade</t>
  </si>
  <si>
    <t xml:space="preserve">Dependência</t>
  </si>
  <si>
    <t xml:space="preserve">Responsável</t>
  </si>
  <si>
    <t xml:space="preserve">Critério/Observação</t>
  </si>
  <si>
    <t xml:space="preserve">BL01</t>
  </si>
  <si>
    <t xml:space="preserve">Planejamento</t>
  </si>
  <si>
    <t xml:space="preserve">Definir personas (morador, líder comunitário, cidadão interessado) e jornada principal</t>
  </si>
  <si>
    <t xml:space="preserve">Alta</t>
  </si>
  <si>
    <t xml:space="preserve">—</t>
  </si>
  <si>
    <t xml:space="preserve">Documentação / UX</t>
  </si>
  <si>
    <t xml:space="preserve">Sprint 0</t>
  </si>
  <si>
    <t xml:space="preserve">Registrado no Relatório parcial (docs/Relatorio_parcial.pdf).</t>
  </si>
  <si>
    <t xml:space="preserve">BL02</t>
  </si>
  <si>
    <t xml:space="preserve">Levantar requisitos e definir arquitetura de informação e fluxos de navegação das 8 páginas</t>
  </si>
  <si>
    <t xml:space="preserve">Home, Login, Cadastro, Demandas, Nova demanda, Mapa, Dashboard e Perfil.</t>
  </si>
  <si>
    <t xml:space="preserve">BL03</t>
  </si>
  <si>
    <t xml:space="preserve">Documentar o caso de uso 'Registrar Demanda Urbana'</t>
  </si>
  <si>
    <t xml:space="preserve">Documentação</t>
  </si>
  <si>
    <t xml:space="preserve">docs/caso de uso.pdf (fluxo principal + alternativos A.1–A.4).</t>
  </si>
  <si>
    <t xml:space="preserve">BL04</t>
  </si>
  <si>
    <t xml:space="preserve">UI/UX</t>
  </si>
  <si>
    <t xml:space="preserve">Criar wireframes das telas principais</t>
  </si>
  <si>
    <t xml:space="preserve">Conforme relatório parcial.</t>
  </si>
  <si>
    <t xml:space="preserve">BL05</t>
  </si>
  <si>
    <t xml:space="preserve">Criar protótipo de alta fidelidade e guia de estilos no Figma</t>
  </si>
  <si>
    <t xml:space="preserve">Sprint 1</t>
  </si>
  <si>
    <t xml:space="preserve">Conforme relatório parcial. Anexar o link do Figma aqui.</t>
  </si>
  <si>
    <t xml:space="preserve">BL06</t>
  </si>
  <si>
    <t xml:space="preserve">Fundação</t>
  </si>
  <si>
    <t xml:space="preserve">Estruturar projeto multipágina (HTML/CSS/JS) com CSS modular: reset, style, components, pages, responsive</t>
  </si>
  <si>
    <t xml:space="preserve">BL02, BL05</t>
  </si>
  <si>
    <t xml:space="preserve">Dev</t>
  </si>
  <si>
    <t xml:space="preserve">Pastas css/, js/ e imagens/.</t>
  </si>
  <si>
    <t xml:space="preserve">BL07</t>
  </si>
  <si>
    <t xml:space="preserve">Criar cabeçalho, navegação, rodapé e alternância de tema claro/escuro</t>
  </si>
  <si>
    <t xml:space="preserve">js/main.js (tema salvo na chave 'theme').</t>
  </si>
  <si>
    <t xml:space="preserve">BL08</t>
  </si>
  <si>
    <t xml:space="preserve">Criar js/store.js como fonte única de dados no localStorage, com seed versionado</t>
  </si>
  <si>
    <t xml:space="preserve">Chaves bp_demandas e bp_demandas_versao (SEED_VERSION).</t>
  </si>
  <si>
    <t xml:space="preserve">BL09</t>
  </si>
  <si>
    <t xml:space="preserve">Definir as 9 categorias com ícones e cores</t>
  </si>
  <si>
    <t xml:space="preserve">Infraestrutura, Iluminação, Limpeza, Segurança, Transporte, Meio ambiente, Educação, Saúde, Acessibilidade.</t>
  </si>
  <si>
    <t xml:space="preserve">BL10</t>
  </si>
  <si>
    <t xml:space="preserve">Cadastrar as Regiões Administrativas do DF com coordenadas para o mapa</t>
  </si>
  <si>
    <t xml:space="preserve">Coordenadas aproximadas do centro de cada RA.</t>
  </si>
  <si>
    <t xml:space="preserve">BL11</t>
  </si>
  <si>
    <t xml:space="preserve">Criar demandas de exemplo com fotos reais das RAs</t>
  </si>
  <si>
    <t xml:space="preserve">BL09, BL10</t>
  </si>
  <si>
    <t xml:space="preserve">Sprint 2</t>
  </si>
  <si>
    <t xml:space="preserve">22 demandas no DEMANDAS_SEED; fotos em imagens/.</t>
  </si>
  <si>
    <t xml:space="preserve">BL12</t>
  </si>
  <si>
    <t xml:space="preserve">Home/Demandas</t>
  </si>
  <si>
    <t xml:space="preserve">Implementar hero com CTA 'Registrar demanda' e estatísticas gerais</t>
  </si>
  <si>
    <t xml:space="preserve">BL05, BL06</t>
  </si>
  <si>
    <t xml:space="preserve">index.html; números calculados por calcularEstatisticas().</t>
  </si>
  <si>
    <t xml:space="preserve">BL13</t>
  </si>
  <si>
    <t xml:space="preserve">Exibir demandas recentes na página inicial</t>
  </si>
  <si>
    <t xml:space="preserve">BL08, BL12</t>
  </si>
  <si>
    <t xml:space="preserve">BL14</t>
  </si>
  <si>
    <t xml:space="preserve">Criar cards de demandas com foto, título, categoria, região, apoios e status</t>
  </si>
  <si>
    <t xml:space="preserve">BL08, BL09</t>
  </si>
  <si>
    <t xml:space="preserve">demandas.html + js/demandas.js.</t>
  </si>
  <si>
    <t xml:space="preserve">BL15</t>
  </si>
  <si>
    <t xml:space="preserve">Implementar busca por texto e filtro por status</t>
  </si>
  <si>
    <t xml:space="preserve">BL16</t>
  </si>
  <si>
    <t xml:space="preserve">Implementar filtro por Região Administrativa</t>
  </si>
  <si>
    <t xml:space="preserve">BL10, BL14</t>
  </si>
  <si>
    <t xml:space="preserve">Previsto no escopo do modelo; ainda não existe na listagem.</t>
  </si>
  <si>
    <t xml:space="preserve">BL17</t>
  </si>
  <si>
    <t xml:space="preserve">Implementar filtro por categoria</t>
  </si>
  <si>
    <t xml:space="preserve">BL09, BL14</t>
  </si>
  <si>
    <t xml:space="preserve">BL18</t>
  </si>
  <si>
    <t xml:space="preserve">Exibir status Recebida, Em análise, Pendente e Resolvida com cores</t>
  </si>
  <si>
    <t xml:space="preserve">classeDoStatus() / corDoStatus() em store.js.</t>
  </si>
  <si>
    <t xml:space="preserve">BL19</t>
  </si>
  <si>
    <t xml:space="preserve">Mapa</t>
  </si>
  <si>
    <t xml:space="preserve">Criar mapa interativo com Leaflet e pins coloridos por status</t>
  </si>
  <si>
    <t xml:space="preserve">mapa.html + js/mapa.js (Leaflet 1.9.4).</t>
  </si>
  <si>
    <t xml:space="preserve">BL20</t>
  </si>
  <si>
    <t xml:space="preserve">Exibir painel de detalhe ao clicar no pin</t>
  </si>
  <si>
    <t xml:space="preserve">BL21</t>
  </si>
  <si>
    <t xml:space="preserve">Engajamento</t>
  </si>
  <si>
    <t xml:space="preserve">Permitir apoiar/remover apoio de uma demanda (upvote) com contagem salva localmente</t>
  </si>
  <si>
    <t xml:space="preserve">Chave bp_votos; disponível na página Demandas.</t>
  </si>
  <si>
    <t xml:space="preserve">BL22</t>
  </si>
  <si>
    <t xml:space="preserve">Permitir apoiar a demanda também pelo detalhe do mapa</t>
  </si>
  <si>
    <t xml:space="preserve">Média</t>
  </si>
  <si>
    <t xml:space="preserve">BL20, BL21</t>
  </si>
  <si>
    <t xml:space="preserve">Hoje o mapa só mostra o número de apoios.</t>
  </si>
  <si>
    <t xml:space="preserve">BL23</t>
  </si>
  <si>
    <t xml:space="preserve">Acesso</t>
  </si>
  <si>
    <t xml:space="preserve">Implementar cadastro de usuário com validação e bloqueio de e-mail duplicado</t>
  </si>
  <si>
    <t xml:space="preserve">Sprint 5</t>
  </si>
  <si>
    <t xml:space="preserve">Simulado no localStorage (bp_cadastro_*).</t>
  </si>
  <si>
    <t xml:space="preserve">BL24</t>
  </si>
  <si>
    <t xml:space="preserve">Implementar login com bloqueio de credenciais inválidas</t>
  </si>
  <si>
    <t xml:space="preserve">Simulado no localStorage (bp_logado, bp_usuario_*).</t>
  </si>
  <si>
    <t xml:space="preserve">BL25</t>
  </si>
  <si>
    <t xml:space="preserve">Exigir login para registrar demanda (pré-condição do caso de uso)</t>
  </si>
  <si>
    <t xml:space="preserve">BL24, BL26</t>
  </si>
  <si>
    <t xml:space="preserve">Hoje nova-demanda.html abre sem login.</t>
  </si>
  <si>
    <t xml:space="preserve">BL26</t>
  </si>
  <si>
    <t xml:space="preserve">Nova demanda</t>
  </si>
  <si>
    <t xml:space="preserve">Formulário com título, categoria, região, localização e descrição, com validação dos obrigatórios</t>
  </si>
  <si>
    <t xml:space="preserve">Fluxo alternativo A.1 do caso de uso.</t>
  </si>
  <si>
    <t xml:space="preserve">BL27</t>
  </si>
  <si>
    <t xml:space="preserve">Upload de foto com pré-visualização</t>
  </si>
  <si>
    <t xml:space="preserve">A imagem fica só no navegador.</t>
  </si>
  <si>
    <t xml:space="preserve">BL28</t>
  </si>
  <si>
    <t xml:space="preserve">Marcação do ponto no mapa habilitada só após escolher a RA</t>
  </si>
  <si>
    <t xml:space="preserve">BL19, BL26</t>
  </si>
  <si>
    <t xml:space="preserve">Fluxo alternativo A.2 do caso de uso.</t>
  </si>
  <si>
    <t xml:space="preserve">BL29</t>
  </si>
  <si>
    <t xml:space="preserve">Tela de confirmação e gravação da demanda no store (aparece em Demandas, Mapa e Dashboard)</t>
  </si>
  <si>
    <t xml:space="preserve">BL26–BL28</t>
  </si>
  <si>
    <t xml:space="preserve">BL30</t>
  </si>
  <si>
    <t xml:space="preserve">Dividir o formulário em Wizard de 3 etapas (dados → localização → foto/resumo)</t>
  </si>
  <si>
    <t xml:space="preserve">Objetivo específico do relatório; hoje é um formulário único.</t>
  </si>
  <si>
    <t xml:space="preserve">BL31</t>
  </si>
  <si>
    <t xml:space="preserve">Perfil</t>
  </si>
  <si>
    <t xml:space="preserve">Exibir no perfil os dados do usuário logado</t>
  </si>
  <si>
    <t xml:space="preserve">Sprint 7</t>
  </si>
  <si>
    <t xml:space="preserve">perfil.html ainda mostra nome e e-mail fixos.</t>
  </si>
  <si>
    <t xml:space="preserve">BL32</t>
  </si>
  <si>
    <t xml:space="preserve">Criar 'Minhas demandas' filtrando pelo autor</t>
  </si>
  <si>
    <t xml:space="preserve">BL29, BL31</t>
  </si>
  <si>
    <t xml:space="preserve">Exige salvar o autor na demanda; hoje o botão leva para todas as demandas.</t>
  </si>
  <si>
    <t xml:space="preserve">BL33</t>
  </si>
  <si>
    <t xml:space="preserve">Dashboard</t>
  </si>
  <si>
    <t xml:space="preserve">Indicadores (total, resolvidas, em andamento, regiões) calculados a partir do store</t>
  </si>
  <si>
    <t xml:space="preserve">Revisar: 'Cidadãos participantes' e 'Usuários' mostram o total de apoios.</t>
  </si>
  <si>
    <t xml:space="preserve">BL34</t>
  </si>
  <si>
    <t xml:space="preserve">Criar ranking das Regiões Administrativas mais ativas</t>
  </si>
  <si>
    <t xml:space="preserve">BL10, BL33</t>
  </si>
  <si>
    <t xml:space="preserve">BL35</t>
  </si>
  <si>
    <t xml:space="preserve">Substituir os placeholders por gráficos dinâmicos (status, categoria, evolução no tempo)</t>
  </si>
  <si>
    <t xml:space="preserve">Hoje dashboard.html tem 3 chart-placeholder.</t>
  </si>
  <si>
    <t xml:space="preserve">BL36</t>
  </si>
  <si>
    <t xml:space="preserve">Gamificação</t>
  </si>
  <si>
    <t xml:space="preserve">Definir regras de badges por apoios e relatos</t>
  </si>
  <si>
    <t xml:space="preserve">BL21, BL29</t>
  </si>
  <si>
    <t xml:space="preserve">Ex.: Colaborador Bronze, Guardião do Bairro.</t>
  </si>
  <si>
    <t xml:space="preserve">BL37</t>
  </si>
  <si>
    <t xml:space="preserve">Exibir badges no perfil e no dashboard</t>
  </si>
  <si>
    <t xml:space="preserve">BL31, BL36</t>
  </si>
  <si>
    <t xml:space="preserve">BL38</t>
  </si>
  <si>
    <t xml:space="preserve">UX</t>
  </si>
  <si>
    <t xml:space="preserve">Implementar estados de vazio, carregamento e erro em todas as listas</t>
  </si>
  <si>
    <t xml:space="preserve">Fluxos principais</t>
  </si>
  <si>
    <t xml:space="preserve">Sprint 9</t>
  </si>
  <si>
    <t xml:space="preserve">Demandas já trata lista vazia; falta mapa, home e dashboard.</t>
  </si>
  <si>
    <t xml:space="preserve">BL39</t>
  </si>
  <si>
    <t xml:space="preserve">Revisar responsividade mobile/tablet/desktop</t>
  </si>
  <si>
    <t xml:space="preserve">Tester</t>
  </si>
  <si>
    <t xml:space="preserve">Evidência no relatório parcial.</t>
  </si>
  <si>
    <t xml:space="preserve">BL40</t>
  </si>
  <si>
    <t xml:space="preserve">Acessibilidade</t>
  </si>
  <si>
    <t xml:space="preserve">Revisar contraste, foco, labels, navegação por teclado e textos alternativos</t>
  </si>
  <si>
    <t xml:space="preserve">BL41</t>
  </si>
  <si>
    <t xml:space="preserve">Qualidade</t>
  </si>
  <si>
    <t xml:space="preserve">Otimizar o tamanho das imagens</t>
  </si>
  <si>
    <t xml:space="preserve">Ex.: imagens/BuracoGama.jpg tem ~3,3 MB.</t>
  </si>
  <si>
    <t xml:space="preserve">BL42</t>
  </si>
  <si>
    <t xml:space="preserve">QA</t>
  </si>
  <si>
    <t xml:space="preserve">Testar login e cadastro</t>
  </si>
  <si>
    <t xml:space="preserve">BL23, BL24</t>
  </si>
  <si>
    <t xml:space="preserve">Credenciais inválidas, obrigatórios, e-mail duplicado, senha oculta.</t>
  </si>
  <si>
    <t xml:space="preserve">BL43</t>
  </si>
  <si>
    <t xml:space="preserve">Testar nova demanda e validações</t>
  </si>
  <si>
    <t xml:space="preserve">BL26–BL29</t>
  </si>
  <si>
    <t xml:space="preserve">Obrigatórios, listas suspensas, prévia da foto, mapa após RA.</t>
  </si>
  <si>
    <t xml:space="preserve">BL44</t>
  </si>
  <si>
    <t xml:space="preserve">Testar listagem, filtros, mapa e apoio</t>
  </si>
  <si>
    <t xml:space="preserve">BL14–BL22</t>
  </si>
  <si>
    <t xml:space="preserve">Sprint 10</t>
  </si>
  <si>
    <t xml:space="preserve">Repetir após BL16, BL17 e BL22.</t>
  </si>
  <si>
    <t xml:space="preserve">BL45</t>
  </si>
  <si>
    <t xml:space="preserve">Testar dashboard e gamificação</t>
  </si>
  <si>
    <t xml:space="preserve">BL33–BL37</t>
  </si>
  <si>
    <t xml:space="preserve">BL46</t>
  </si>
  <si>
    <t xml:space="preserve">Integração futura</t>
  </si>
  <si>
    <t xml:space="preserve">Documentar a API REST (Spring Boot): demandas, apoio, autenticação e usuários</t>
  </si>
  <si>
    <t xml:space="preserve">Fluxos definidos</t>
  </si>
  <si>
    <t xml:space="preserve">Ver aba Integrações Futuras.</t>
  </si>
  <si>
    <t xml:space="preserve">BL47</t>
  </si>
  <si>
    <t xml:space="preserve">Modelar as coleções MongoDB (usuarios, demandas, categorias, regioes)</t>
  </si>
  <si>
    <t xml:space="preserve">O relatório cita Java/Spring Boot/MongoDB; não há back-end neste repositório.</t>
  </si>
  <si>
    <t xml:space="preserve">BL48</t>
  </si>
  <si>
    <t xml:space="preserve">Mapear a troca das funções do store.js por chamadas fetch() à API</t>
  </si>
  <si>
    <t xml:space="preserve">obterDemandas, adicionarDemanda, atualizarApoios.</t>
  </si>
  <si>
    <t xml:space="preserve">BL49</t>
  </si>
  <si>
    <t xml:space="preserve">Mapear autenticação gov.br, geolocalização por GPS e webhook para a Ouvidoria (OuvDF)</t>
  </si>
  <si>
    <t xml:space="preserve">BL50</t>
  </si>
  <si>
    <t xml:space="preserve">Criar BACKEND_INTEGRATION.md com contratos, payloads e pontos de troca</t>
  </si>
  <si>
    <t xml:space="preserve">BL46–BL49</t>
  </si>
  <si>
    <t xml:space="preserve">BL51</t>
  </si>
  <si>
    <t xml:space="preserve">Atualizar o README (URL de clone, estrutura, capturas de tela)</t>
  </si>
  <si>
    <t xml:space="preserve">MVP funcional</t>
  </si>
  <si>
    <t xml:space="preserve">O README ainda usa 'teste.git' no clone.</t>
  </si>
  <si>
    <t xml:space="preserve">BL52</t>
  </si>
  <si>
    <t xml:space="preserve">Entrega</t>
  </si>
  <si>
    <t xml:space="preserve">Publicar no GitHub Pages</t>
  </si>
  <si>
    <t xml:space="preserve">BL53</t>
  </si>
  <si>
    <t xml:space="preserve">Corrigir defeitos encontrados pelo QA e refatorar código repetido</t>
  </si>
  <si>
    <t xml:space="preserve">BL42–BL45</t>
  </si>
  <si>
    <t xml:space="preserve">BL54</t>
  </si>
  <si>
    <t xml:space="preserve">Apresentação</t>
  </si>
  <si>
    <t xml:space="preserve">Preparar roteiro de demonstração e divisão da apresentação</t>
  </si>
  <si>
    <t xml:space="preserve">BL50–BL53</t>
  </si>
  <si>
    <t xml:space="preserve">Scrum Master</t>
  </si>
  <si>
    <t xml:space="preserve">BL55</t>
  </si>
  <si>
    <t xml:space="preserve">Validação final do MVP e dos critérios de aceite</t>
  </si>
  <si>
    <t xml:space="preserve">Fase</t>
  </si>
  <si>
    <t xml:space="preserve">Frontend %</t>
  </si>
  <si>
    <t xml:space="preserve">Integração futura %</t>
  </si>
  <si>
    <t xml:space="preserve">QA/UX/Docs %</t>
  </si>
  <si>
    <t xml:space="preserve">Entregas principais</t>
  </si>
  <si>
    <t xml:space="preserve">Descoberta/Planejamento</t>
  </si>
  <si>
    <t xml:space="preserve">Personas, requisitos, caso de uso e wireframes</t>
  </si>
  <si>
    <t xml:space="preserve">Design + Fundação</t>
  </si>
  <si>
    <t xml:space="preserve">Figma, guia de estilos, estrutura do projeto, store.js, categorias e RAs</t>
  </si>
  <si>
    <t xml:space="preserve">Seed de demandas, home e cards de demandas</t>
  </si>
  <si>
    <t xml:space="preserve">Busca e filtros (status, região, categoria) e cores de status</t>
  </si>
  <si>
    <t xml:space="preserve">M1 — Demandas navegáveis</t>
  </si>
  <si>
    <t xml:space="preserve">Frontend/Interação</t>
  </si>
  <si>
    <t xml:space="preserve">Mapa Leaflet, pins, detalhe e apoio</t>
  </si>
  <si>
    <t xml:space="preserve">M2 — Mapa e apoio</t>
  </si>
  <si>
    <t xml:space="preserve">Login, cadastro e formulário de nova demanda</t>
  </si>
  <si>
    <t xml:space="preserve">Foto, ponto no mapa, confirmação e Wizard</t>
  </si>
  <si>
    <t xml:space="preserve">M3 — Nova demanda</t>
  </si>
  <si>
    <t xml:space="preserve">Frontend/Dados</t>
  </si>
  <si>
    <t xml:space="preserve">Perfil, indicadores e ranking de RAs</t>
  </si>
  <si>
    <t xml:space="preserve">Frontend/Dashboard</t>
  </si>
  <si>
    <t xml:space="preserve">Gráficos dinâmicos e badges</t>
  </si>
  <si>
    <t xml:space="preserve">M4 — Dashboard completo</t>
  </si>
  <si>
    <t xml:space="preserve">UX/QA</t>
  </si>
  <si>
    <t xml:space="preserve">Estados de interface, responsividade, acessibilidade, imagens e testes</t>
  </si>
  <si>
    <t xml:space="preserve">QA/Integração futura</t>
  </si>
  <si>
    <t xml:space="preserve">Testes e documentação da API REST e do MongoDB</t>
  </si>
  <si>
    <t xml:space="preserve">Transição futura</t>
  </si>
  <si>
    <t xml:space="preserve">Troca do store.js por fetch(), gov.br, GPS, OuvDF e BACKEND_INTEGRATION.md</t>
  </si>
  <si>
    <t xml:space="preserve">M5 — Contratos de API</t>
  </si>
  <si>
    <t xml:space="preserve">Estabilização</t>
  </si>
  <si>
    <t xml:space="preserve">Correções, README, GitHub Pages e apresentação</t>
  </si>
  <si>
    <t xml:space="preserve">M6 — MVP concluído</t>
  </si>
  <si>
    <t xml:space="preserve">Grupo</t>
  </si>
  <si>
    <t xml:space="preserve">Área</t>
  </si>
  <si>
    <t xml:space="preserve">Funcionalidade</t>
  </si>
  <si>
    <t xml:space="preserve">Backlog</t>
  </si>
  <si>
    <t xml:space="preserve">A</t>
  </si>
  <si>
    <t xml:space="preserve">Home &amp; Demandas</t>
  </si>
  <si>
    <t xml:space="preserve">Hero com CTA, estatísticas e demandas recentes.</t>
  </si>
  <si>
    <t xml:space="preserve">Obrigatório</t>
  </si>
  <si>
    <t xml:space="preserve">BL12–BL13</t>
  </si>
  <si>
    <t xml:space="preserve">Cards com foto, título, categoria, região, apoios e status.</t>
  </si>
  <si>
    <t xml:space="preserve">BL14, BL18</t>
  </si>
  <si>
    <t xml:space="preserve">Busca e filtros por status, Região Administrativa e categoria.</t>
  </si>
  <si>
    <t xml:space="preserve">BL15–BL17</t>
  </si>
  <si>
    <t xml:space="preserve">B</t>
  </si>
  <si>
    <t xml:space="preserve">Mapa interativo (Leaflet) com pins por status e detalhe da demanda.</t>
  </si>
  <si>
    <t xml:space="preserve">BL19–BL20</t>
  </si>
  <si>
    <t xml:space="preserve">Apoio (upvote) às demandas.</t>
  </si>
  <si>
    <t xml:space="preserve">BL21–BL22</t>
  </si>
  <si>
    <t xml:space="preserve">C</t>
  </si>
  <si>
    <t xml:space="preserve">Nova Demanda</t>
  </si>
  <si>
    <t xml:space="preserve">Formulário com validação: título, categoria, região, localização e descrição.</t>
  </si>
  <si>
    <t xml:space="preserve">BL26, BL30</t>
  </si>
  <si>
    <t xml:space="preserve">Foto com pré-visualização e ponto no mapa após escolher a RA.</t>
  </si>
  <si>
    <t xml:space="preserve">BL27–BL29</t>
  </si>
  <si>
    <t xml:space="preserve">D</t>
  </si>
  <si>
    <t xml:space="preserve">Acesso &amp; Perfil</t>
  </si>
  <si>
    <t xml:space="preserve">Cadastro, login e registro de demanda só com login.</t>
  </si>
  <si>
    <t xml:space="preserve">BL23–BL25</t>
  </si>
  <si>
    <t xml:space="preserve">Perfil com dados do usuário e 'Minhas demandas'.</t>
  </si>
  <si>
    <t xml:space="preserve">Desejável</t>
  </si>
  <si>
    <t xml:space="preserve">BL31–BL32</t>
  </si>
  <si>
    <t xml:space="preserve">E</t>
  </si>
  <si>
    <t xml:space="preserve">Indicadores, ranking das RAs e gráficos.</t>
  </si>
  <si>
    <t xml:space="preserve">BL33–BL35</t>
  </si>
  <si>
    <t xml:space="preserve">Badges conforme apoios e relatos.</t>
  </si>
  <si>
    <t xml:space="preserve">BL36–BL37</t>
  </si>
  <si>
    <t xml:space="preserve">Arquivo</t>
  </si>
  <si>
    <t xml:space="preserve">Objetivo</t>
  </si>
  <si>
    <t xml:space="preserve">Campos sugeridos</t>
  </si>
  <si>
    <t xml:space="preserve">Consumidores</t>
  </si>
  <si>
    <t xml:space="preserve">js/store.js → bp_demandas</t>
  </si>
  <si>
    <t xml:space="preserve">Lista de demandas urbanas (seed + novas).</t>
  </si>
  <si>
    <t xml:space="preserve">id, titulo, descricao, categoria, regiao, localizacao, lat, lng, foto, apoios, status, data</t>
  </si>
  <si>
    <t xml:space="preserve">Home, Demandas, Mapa, Nova demanda, Dashboard</t>
  </si>
  <si>
    <t xml:space="preserve">Seed recarregado quando SEED_VERSION muda. Falta o campo autor (BL32).</t>
  </si>
  <si>
    <t xml:space="preserve">js/store.js → ICONE/COR_POR_CATEGORIA</t>
  </si>
  <si>
    <t xml:space="preserve">Categorias das demandas.</t>
  </si>
  <si>
    <t xml:space="preserve">nome, ícone Font Awesome, cor</t>
  </si>
  <si>
    <t xml:space="preserve">Cards, mapa, formulário</t>
  </si>
  <si>
    <t xml:space="preserve">9 categorias.</t>
  </si>
  <si>
    <t xml:space="preserve">js/store.js → coordenadas das RAs</t>
  </si>
  <si>
    <t xml:space="preserve">Regiões Administrativas do DF.</t>
  </si>
  <si>
    <t xml:space="preserve">nome, lat, lng</t>
  </si>
  <si>
    <t xml:space="preserve">Formulário, mapa, filtros, ranking</t>
  </si>
  <si>
    <t xml:space="preserve">Base para o filtro por região e o ranking.</t>
  </si>
  <si>
    <t xml:space="preserve">localStorage → bp_votos</t>
  </si>
  <si>
    <t xml:space="preserve">Demandas apoiadas pelo usuário.</t>
  </si>
  <si>
    <t xml:space="preserve">{ idDemanda: true }</t>
  </si>
  <si>
    <t xml:space="preserve">Demandas</t>
  </si>
  <si>
    <t xml:space="preserve">Somente local; vira PATCH na API futura.</t>
  </si>
  <si>
    <t xml:space="preserve">localStorage → bp_cadastro_*, bp_logado, bp_usuario_*</t>
  </si>
  <si>
    <t xml:space="preserve">Cadastro e sessão simulados.</t>
  </si>
  <si>
    <t xml:space="preserve">nome, email, logado</t>
  </si>
  <si>
    <t xml:space="preserve">Login, Cadastro, Header, Perfil</t>
  </si>
  <si>
    <t xml:space="preserve">Sem segurança real; vira autenticação na API.</t>
  </si>
  <si>
    <t xml:space="preserve">localStorage → theme</t>
  </si>
  <si>
    <t xml:space="preserve">Tema claro/escuro.</t>
  </si>
  <si>
    <t xml:space="preserve">light | dark</t>
  </si>
  <si>
    <t xml:space="preserve">Todas as páginas</t>
  </si>
  <si>
    <t xml:space="preserve">Método</t>
  </si>
  <si>
    <t xml:space="preserve">Rota/Integração</t>
  </si>
  <si>
    <t xml:space="preserve">Finalidade</t>
  </si>
  <si>
    <t xml:space="preserve">Nota de transição</t>
  </si>
  <si>
    <t xml:space="preserve">REST</t>
  </si>
  <si>
    <t xml:space="preserve">GET</t>
  </si>
  <si>
    <t xml:space="preserve">/api/v1/demandas</t>
  </si>
  <si>
    <t xml:space="preserve">Listar demandas com paginação e filtros (status, região, categoria).</t>
  </si>
  <si>
    <t xml:space="preserve">Substitui obterDemandas().</t>
  </si>
  <si>
    <t xml:space="preserve">/api/v1/demandas/{id}</t>
  </si>
  <si>
    <t xml:space="preserve">Detalhe de uma demanda.</t>
  </si>
  <si>
    <t xml:space="preserve">Substitui obterDemandaPorId().</t>
  </si>
  <si>
    <t xml:space="preserve">POST</t>
  </si>
  <si>
    <t xml:space="preserve">Criar demanda com dados e foto.</t>
  </si>
  <si>
    <t xml:space="preserve">Substitui adicionarDemanda(); usar multipart/form-data.</t>
  </si>
  <si>
    <t xml:space="preserve">PATCH</t>
  </si>
  <si>
    <t xml:space="preserve">/api/v1/demandas/{id}/apoio</t>
  </si>
  <si>
    <t xml:space="preserve">Adicionar ou remover apoio.</t>
  </si>
  <si>
    <t xml:space="preserve">Substitui atualizarApoios() e a chave bp_votos.</t>
  </si>
  <si>
    <t xml:space="preserve">/api/v1/usuarios  •  /api/v1/auth/login</t>
  </si>
  <si>
    <t xml:space="preserve">Cadastro e login.</t>
  </si>
  <si>
    <t xml:space="preserve">Substitui as chaves bp_cadastro_* e bp_logado.</t>
  </si>
  <si>
    <t xml:space="preserve">Banco</t>
  </si>
  <si>
    <t xml:space="preserve">MongoDB</t>
  </si>
  <si>
    <t xml:space="preserve">Persistência de usuários, demandas, categorias e regiões.</t>
  </si>
  <si>
    <t xml:space="preserve">Back-end em Java + Spring Boot, conforme relatório.</t>
  </si>
  <si>
    <t xml:space="preserve">Externa</t>
  </si>
  <si>
    <t xml:space="preserve">gov.br</t>
  </si>
  <si>
    <t xml:space="preserve">Autenticação e validação de identidade do cidadão.</t>
  </si>
  <si>
    <t xml:space="preserve">Especificação a definir.</t>
  </si>
  <si>
    <t xml:space="preserve">Geolocalização (GPS do navegador)</t>
  </si>
  <si>
    <t xml:space="preserve">Preencher o ponto da ocorrência automaticamente.</t>
  </si>
  <si>
    <t xml:space="preserve">O Leaflet já está no projeto; falta usar a posição do usuário.</t>
  </si>
  <si>
    <t xml:space="preserve">Webhook</t>
  </si>
  <si>
    <t xml:space="preserve">Ouvidoria pública / OuvDF</t>
  </si>
  <si>
    <t xml:space="preserve">Encaminhar demandas para o órgão responsável.</t>
  </si>
  <si>
    <t xml:space="preserve">Mapear eventos, payloads e autenticação.</t>
  </si>
  <si>
    <t xml:space="preserve">Papel</t>
  </si>
  <si>
    <t xml:space="preserve">Pessoas</t>
  </si>
  <si>
    <t xml:space="preserve">Responsabilidades</t>
  </si>
  <si>
    <t xml:space="preserve">Backlog predominante</t>
  </si>
  <si>
    <t xml:space="preserve">Matheus Henrique Madeira Amorim</t>
  </si>
  <si>
    <t xml:space="preserve">Conduzir as cerimônias, remover impedimentos e manter o backlog/Kanban atualizado.</t>
  </si>
  <si>
    <t xml:space="preserve">Acompanhamento, BL54</t>
  </si>
  <si>
    <t xml:space="preserve">Iago Camilo Soares Pedroso; Igor Gabriel da Costa Souza; Luiz Felipe Rodrigues Gusmão; Oto Pereira Bonfim</t>
  </si>
  <si>
    <t xml:space="preserve">Front-end, store.js, mapa, formulário, dashboard, gamificação e correções.</t>
  </si>
  <si>
    <t xml:space="preserve">BL06–BL37, BL41, BL48, BL52–BL53</t>
  </si>
  <si>
    <t xml:space="preserve">Gabriel Alves da Cunha de Souza</t>
  </si>
  <si>
    <t xml:space="preserve">Testes funcionais, de responsividade e acessibilidade; registrar defeitos.</t>
  </si>
  <si>
    <t xml:space="preserve">BL39–BL40, BL42–BL45</t>
  </si>
  <si>
    <t xml:space="preserve">Gabriel Andrade de Melo; Gabriel Mendes Siqueira; Igor Gabriel Ildefonso Costa; João Paulo Messias Dos Santos; João Vitor de Souza Guedes</t>
  </si>
  <si>
    <t xml:space="preserve">Personas, caso de uso, relatórios, README, contratos de API e modelagem do banco.</t>
  </si>
  <si>
    <t xml:space="preserve">BL01–BL05, BL36, BL46–BL47, BL49–BL51</t>
  </si>
  <si>
    <t xml:space="preserve">Cenário</t>
  </si>
  <si>
    <t xml:space="preserve">Resultado esperado</t>
  </si>
  <si>
    <t xml:space="preserve">T01</t>
  </si>
  <si>
    <t xml:space="preserve">Home e Demandas carregam os dados do store</t>
  </si>
  <si>
    <t xml:space="preserve">Cards exibem os dados essenciais e o status correto.</t>
  </si>
  <si>
    <t xml:space="preserve">Aprovado</t>
  </si>
  <si>
    <t xml:space="preserve">T02</t>
  </si>
  <si>
    <t xml:space="preserve">Busca e filtro por status</t>
  </si>
  <si>
    <t xml:space="preserve">A lista mostra somente as demandas que atendem à busca e ao status.</t>
  </si>
  <si>
    <t xml:space="preserve">Não executado</t>
  </si>
  <si>
    <t xml:space="preserve">T03</t>
  </si>
  <si>
    <t xml:space="preserve">Filtro por região e por categoria</t>
  </si>
  <si>
    <t xml:space="preserve">A lista mostra somente a região/categoria selecionada.</t>
  </si>
  <si>
    <t xml:space="preserve">T04</t>
  </si>
  <si>
    <t xml:space="preserve">Clique em pin do mapa</t>
  </si>
  <si>
    <t xml:space="preserve">O detalhe abre com o resumo da demanda correspondente.</t>
  </si>
  <si>
    <t xml:space="preserve">T05</t>
  </si>
  <si>
    <t xml:space="preserve">Apoio (upvote)</t>
  </si>
  <si>
    <t xml:space="preserve">A contagem aumenta/diminui sem recarregar e se mantém ao voltar à página.</t>
  </si>
  <si>
    <t xml:space="preserve">T06</t>
  </si>
  <si>
    <t xml:space="preserve">Login com credenciais inválidas</t>
  </si>
  <si>
    <t xml:space="preserve">O acesso é bloqueado e o usuário é avisado.</t>
  </si>
  <si>
    <t xml:space="preserve">T07</t>
  </si>
  <si>
    <t xml:space="preserve">Cadastro com e-mail duplicado / campos vazios</t>
  </si>
  <si>
    <t xml:space="preserve">O cadastro é bloqueado e o motivo é informado.</t>
  </si>
  <si>
    <t xml:space="preserve">T08</t>
  </si>
  <si>
    <t xml:space="preserve">Nova demanda sem campos obrigatórios</t>
  </si>
  <si>
    <t xml:space="preserve">O envio é bloqueado e os campos pendentes são indicados.</t>
  </si>
  <si>
    <t xml:space="preserve">T09</t>
  </si>
  <si>
    <t xml:space="preserve">Mapa da nova demanda sem RA selecionada</t>
  </si>
  <si>
    <t xml:space="preserve">A marcação no mapa permanece desabilitada.</t>
  </si>
  <si>
    <t xml:space="preserve">T10</t>
  </si>
  <si>
    <t xml:space="preserve">Nova demanda completa com foto</t>
  </si>
  <si>
    <t xml:space="preserve">A prévia da foto aparece e a demanda surge em Demandas, Mapa e Dashboard.</t>
  </si>
  <si>
    <t xml:space="preserve">T11</t>
  </si>
  <si>
    <t xml:space="preserve">Indicadores, ranking e gráficos refletem os dados do store.</t>
  </si>
  <si>
    <t xml:space="preserve">T12</t>
  </si>
  <si>
    <t xml:space="preserve">O badge exibido corresponde às regras definidas.</t>
  </si>
  <si>
    <t xml:space="preserve">T13</t>
  </si>
  <si>
    <t xml:space="preserve">Responsividade</t>
  </si>
  <si>
    <t xml:space="preserve">Os fluxos principais funcionam em mobile, tablet e desktop.</t>
  </si>
  <si>
    <t xml:space="preserve">T14</t>
  </si>
  <si>
    <t xml:space="preserve">Foco visível, labels e navegação por teclado nos fluxos críticos.</t>
  </si>
  <si>
    <t xml:space="preserve">T15</t>
  </si>
  <si>
    <t xml:space="preserve">Documentação futura</t>
  </si>
  <si>
    <t xml:space="preserve">BACKEND_INTEGRATION.md descreve rotas, payloads e pontos de troca do store.js.</t>
  </si>
  <si>
    <t xml:space="preserve">Entregável</t>
  </si>
  <si>
    <t xml:space="preserve">Conteúdo</t>
  </si>
  <si>
    <t xml:space="preserve">Responsável sugerido</t>
  </si>
  <si>
    <t xml:space="preserve">Protótipo Figma</t>
  </si>
  <si>
    <t xml:space="preserve">Personas, telas de alta fidelidade e guia visual.</t>
  </si>
  <si>
    <t xml:space="preserve">Caso de uso</t>
  </si>
  <si>
    <t xml:space="preserve">Registrar Demanda Urbana (docs/caso de uso.pdf).</t>
  </si>
  <si>
    <t xml:space="preserve">Relatório parcial</t>
  </si>
  <si>
    <t xml:space="preserve">docs/Relatorio_parcial.pdf.</t>
  </si>
  <si>
    <t xml:space="preserve">Home, demandas, filtros, mapa, nova demanda, login, perfil e dashboard.</t>
  </si>
  <si>
    <t xml:space="preserve">Dados locais (store.js)</t>
  </si>
  <si>
    <t xml:space="preserve">Demandas, categorias, RAs e persistência no localStorage.</t>
  </si>
  <si>
    <t xml:space="preserve">Site publicado</t>
  </si>
  <si>
    <t xml:space="preserve">GitHub Pages.</t>
  </si>
  <si>
    <t xml:space="preserve">Testes de usabilidade</t>
  </si>
  <si>
    <t xml:space="preserve">Resultados e ajustes priorizados.</t>
  </si>
  <si>
    <t xml:space="preserve">Tester + Documentação</t>
  </si>
  <si>
    <t xml:space="preserve">BACKEND_INTEGRATION.md</t>
  </si>
  <si>
    <t xml:space="preserve">API REST, modelagem MongoDB, integrações externas e troca do store.js.</t>
  </si>
  <si>
    <t xml:space="preserve">README</t>
  </si>
  <si>
    <t xml:space="preserve">Execução, estrutura, dados e arquitetura do front-end.</t>
  </si>
  <si>
    <t xml:space="preserve">Kanban/Backlog</t>
  </si>
  <si>
    <t xml:space="preserve">Esta planilha + GitHub Projects com as issues.</t>
  </si>
  <si>
    <t xml:space="preserve">Demonstração</t>
  </si>
  <si>
    <t xml:space="preserve">Roteiro e apresentação do fluxo completo.</t>
  </si>
  <si>
    <t xml:space="preserve">Não implementar nesta etapa</t>
  </si>
  <si>
    <t xml:space="preserve">Tratamento</t>
  </si>
  <si>
    <t xml:space="preserve">Back-end Java/Spring Boot real</t>
  </si>
  <si>
    <t xml:space="preserve">Apenas documentar contratos e modelagem (BL46–BL50).</t>
  </si>
  <si>
    <t xml:space="preserve">Banco de dados MongoDB real</t>
  </si>
  <si>
    <t xml:space="preserve">Manter os dados no localStorage via store.js.</t>
  </si>
  <si>
    <t xml:space="preserve">Autenticação real / gov.br</t>
  </si>
  <si>
    <t xml:space="preserve">Login e cadastro simulados; mapear no BACKEND_INTEGRATION.md.</t>
  </si>
  <si>
    <t xml:space="preserve">Persistência real de apoios</t>
  </si>
  <si>
    <t xml:space="preserve">Apoio salvo apenas no navegador (bp_votos).</t>
  </si>
  <si>
    <t xml:space="preserve">Upload real de imagens</t>
  </si>
  <si>
    <t xml:space="preserve">Pré-visualização local; POST multipart documentado para o futuro.</t>
  </si>
  <si>
    <t xml:space="preserve">GPS / geolocalização real</t>
  </si>
  <si>
    <t xml:space="preserve">Ponto marcado manualmente no mapa Leaflet.</t>
  </si>
  <si>
    <t xml:space="preserve">Integração real com Ouvidoria (OuvDF)</t>
  </si>
  <si>
    <t xml:space="preserve">Somente mapear no BACKEND_INTEGRATION.md.</t>
  </si>
  <si>
    <t xml:space="preserve">Notificações, comentários e app mobile</t>
  </si>
  <si>
    <t xml:space="preserve">Evolução futura citada na conclusão do relatório.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</si>
</sst>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A"/>
        <bgColor rgb="FF333333"/>
      </patternFill>
    </fill>
    <fill>
      <patternFill patternType="solid">
        <fgColor rgb="FF2878A8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2878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8A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cklogBrasilia" displayName="BacklogBrasilia" ref="A1:I56" headerRowCount="1" totalsRowCount="0" totalsRowShown="0">
  <autoFilter ref="A1:I56"/>
  <tableColumns count="9">
    <tableColumn id="1" name="ID"/>
    <tableColumn id="2" name="Épico"/>
    <tableColumn id="3" name="Item do backlog"/>
    <tableColumn id="4" name="Prioridade"/>
    <tableColumn id="5" name="Dependência"/>
    <tableColumn id="6" name="Responsável"/>
    <tableColumn id="7" name="Status"/>
    <tableColumn id="8" name="Sprint"/>
    <tableColumn id="9" name="Critério/Observação"/>
  </tableColumns>
</table>
</file>

<file path=xl/tables/table2.xml><?xml version="1.0" encoding="utf-8"?>
<table xmlns="http://schemas.openxmlformats.org/spreadsheetml/2006/main" id="2" name="CronogramaBrasilia" displayName="CronogramaBrasilia" ref="A1:G14" headerRowCount="1" totalsRowCount="0" totalsRowShown="0">
  <autoFilter ref="A1:G14"/>
  <tableColumns count="7">
    <tableColumn id="1" name="Sprint"/>
    <tableColumn id="2" name="Fase"/>
    <tableColumn id="3" name="Frontend %"/>
    <tableColumn id="4" name="Integração futura %"/>
    <tableColumn id="5" name="QA/UX/Docs %"/>
    <tableColumn id="6" name="Entregas principais"/>
    <tableColumn id="7" name="Marc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5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50"/>
    <col collapsed="false" customWidth="true" hidden="false" outlineLevel="0" max="7" min="7" style="0" width="15"/>
    <col collapsed="false" customWidth="true" hidden="false" outlineLevel="0" max="8" min="8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2" t="s">
        <v>2</v>
      </c>
      <c r="D3" s="3" t="s">
        <v>3</v>
      </c>
      <c r="E3" s="3"/>
      <c r="F3" s="3"/>
      <c r="G3" s="3"/>
      <c r="H3" s="3"/>
    </row>
    <row r="4" customFormat="false" ht="15" hidden="false" customHeight="false" outlineLevel="0" collapsed="false">
      <c r="A4" s="4" t="s">
        <v>4</v>
      </c>
      <c r="B4" s="4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customFormat="false" ht="28.35" hidden="false" customHeight="false" outlineLevel="0" collapsed="false">
      <c r="A5" s="4" t="s">
        <v>11</v>
      </c>
      <c r="B5" s="4" t="s">
        <v>12</v>
      </c>
      <c r="C5" s="4"/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8.35" hidden="false" customHeight="false" outlineLevel="0" collapsed="false">
      <c r="A6" s="4" t="s">
        <v>18</v>
      </c>
      <c r="B6" s="4" t="s">
        <v>19</v>
      </c>
      <c r="C6" s="4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</row>
    <row r="7" customFormat="false" ht="28.35" hidden="false" customHeight="false" outlineLevel="0" collapsed="false">
      <c r="A7" s="4" t="s">
        <v>25</v>
      </c>
      <c r="B7" s="4" t="s">
        <v>26</v>
      </c>
      <c r="C7" s="4"/>
      <c r="D7" s="4" t="s">
        <v>27</v>
      </c>
      <c r="E7" s="4" t="s">
        <v>28</v>
      </c>
      <c r="F7" s="4" t="s">
        <v>29</v>
      </c>
      <c r="G7" s="4" t="s">
        <v>16</v>
      </c>
      <c r="H7" s="4" t="s">
        <v>30</v>
      </c>
    </row>
    <row r="8" customFormat="false" ht="15" hidden="false" customHeight="false" outlineLevel="0" collapsed="false">
      <c r="A8" s="4" t="s">
        <v>31</v>
      </c>
      <c r="B8" s="4" t="s">
        <v>32</v>
      </c>
      <c r="C8" s="4"/>
      <c r="D8" s="4" t="s">
        <v>33</v>
      </c>
      <c r="E8" s="4" t="s">
        <v>34</v>
      </c>
      <c r="F8" s="4" t="s">
        <v>35</v>
      </c>
      <c r="G8" s="4" t="s">
        <v>16</v>
      </c>
      <c r="H8" s="4" t="s">
        <v>36</v>
      </c>
    </row>
    <row r="9" customFormat="false" ht="15" hidden="false" customHeight="false" outlineLevel="0" collapsed="false">
      <c r="A9" s="4" t="s">
        <v>37</v>
      </c>
      <c r="B9" s="4" t="s">
        <v>38</v>
      </c>
      <c r="C9" s="4"/>
      <c r="D9" s="4" t="s">
        <v>39</v>
      </c>
      <c r="E9" s="4" t="s">
        <v>40</v>
      </c>
      <c r="F9" s="4" t="s">
        <v>41</v>
      </c>
      <c r="G9" s="4" t="s">
        <v>42</v>
      </c>
      <c r="H9" s="4"/>
    </row>
    <row r="10" customFormat="false" ht="15" hidden="false" customHeight="false" outlineLevel="0" collapsed="false">
      <c r="A10" s="4" t="s">
        <v>43</v>
      </c>
      <c r="B10" s="4" t="s">
        <v>44</v>
      </c>
      <c r="C10" s="4"/>
      <c r="D10" s="4" t="s">
        <v>45</v>
      </c>
      <c r="E10" s="4" t="s">
        <v>46</v>
      </c>
      <c r="F10" s="4" t="s">
        <v>47</v>
      </c>
      <c r="G10" s="4" t="s">
        <v>42</v>
      </c>
      <c r="H10" s="4"/>
    </row>
    <row r="11" customFormat="false" ht="28.35" hidden="false" customHeight="false" outlineLevel="0" collapsed="false">
      <c r="A11" s="4" t="s">
        <v>48</v>
      </c>
      <c r="B11" s="4" t="s">
        <v>49</v>
      </c>
      <c r="C11" s="4"/>
      <c r="D11" s="4"/>
      <c r="E11" s="4"/>
      <c r="F11" s="4"/>
      <c r="G11" s="4"/>
      <c r="H11" s="4"/>
    </row>
    <row r="12" customFormat="false" ht="28.35" hidden="false" customHeight="false" outlineLevel="0" collapsed="false">
      <c r="A12" s="4" t="s">
        <v>50</v>
      </c>
      <c r="B12" s="4" t="s">
        <v>51</v>
      </c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 t="s">
        <v>52</v>
      </c>
      <c r="B13" s="4" t="s">
        <v>53</v>
      </c>
      <c r="C13" s="4"/>
      <c r="D13" s="4"/>
      <c r="E13" s="4"/>
      <c r="F13" s="4"/>
      <c r="G13" s="4"/>
      <c r="H13" s="4"/>
    </row>
    <row r="15" customFormat="false" ht="15" hidden="false" customHeight="false" outlineLevel="0" collapsed="false">
      <c r="A15" s="5" t="s">
        <v>54</v>
      </c>
      <c r="B15" s="5" t="s">
        <v>55</v>
      </c>
    </row>
    <row r="16" customFormat="false" ht="15" hidden="false" customHeight="false" outlineLevel="0" collapsed="false">
      <c r="A16" s="6" t="s">
        <v>56</v>
      </c>
      <c r="B16" s="7" t="n">
        <f aca="false">COUNTA(Backlog!$A$2:$A$56)</f>
        <v>55</v>
      </c>
    </row>
    <row r="17" customFormat="false" ht="15" hidden="false" customHeight="false" outlineLevel="0" collapsed="false">
      <c r="A17" s="6" t="s">
        <v>23</v>
      </c>
      <c r="B17" s="7" t="n">
        <f aca="false">COUNTIF(Backlog!$G$2:$G$56,"Concluído")</f>
        <v>30</v>
      </c>
    </row>
    <row r="18" customFormat="false" ht="15" hidden="false" customHeight="false" outlineLevel="0" collapsed="false">
      <c r="A18" s="6" t="s">
        <v>16</v>
      </c>
      <c r="B18" s="7" t="n">
        <f aca="false">COUNTIF(Backlog!$G$2:$G$56,"Em andamento")</f>
        <v>4</v>
      </c>
    </row>
    <row r="19" customFormat="false" ht="15" hidden="false" customHeight="false" outlineLevel="0" collapsed="false">
      <c r="A19" s="6" t="s">
        <v>57</v>
      </c>
      <c r="B19" s="7" t="n">
        <f aca="false">COUNTIF(Backlog!$G$2:$G$56,"Não iniciado")</f>
        <v>21</v>
      </c>
    </row>
    <row r="20" customFormat="false" ht="15" hidden="false" customHeight="false" outlineLevel="0" collapsed="false">
      <c r="A20" s="6" t="s">
        <v>58</v>
      </c>
      <c r="B20" s="7" t="n">
        <f aca="false">COUNTIF(Backlog!$G$2:$G$56,"Bloqueado")</f>
        <v>0</v>
      </c>
    </row>
    <row r="21" customFormat="false" ht="15" hidden="false" customHeight="false" outlineLevel="0" collapsed="false">
      <c r="A21" s="6" t="s">
        <v>59</v>
      </c>
      <c r="B21" s="8" t="n">
        <f aca="false">IFERROR(B17/B16,0)</f>
        <v>0.545454545454545</v>
      </c>
    </row>
    <row r="23" customFormat="false" ht="15" hidden="false" customHeight="false" outlineLevel="0" collapsed="false">
      <c r="A23" s="9" t="s">
        <v>60</v>
      </c>
    </row>
  </sheetData>
  <mergeCells count="2">
    <mergeCell ref="A1:H1"/>
    <mergeCell ref="D3:H3"/>
  </mergeCells>
  <conditionalFormatting sqref="G5:G10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0">
      <formula>"Aprovado"</formula>
    </cfRule>
    <cfRule type="cellIs" priority="4" operator="equal" aboveAverage="0" equalAverage="0" bottom="0" percent="0" rank="0" text="" dxfId="1">
      <formula>"Em andamento"</formula>
    </cfRule>
    <cfRule type="cellIs" priority="5" operator="equal" aboveAverage="0" equalAverage="0" bottom="0" percent="0" rank="0" text="" dxfId="2">
      <formula>"Bloqueado"</formula>
    </cfRule>
    <cfRule type="cellIs" priority="6" operator="equal" aboveAverage="0" equalAverage="0" bottom="0" percent="0" rank="0" text="" dxfId="2">
      <formula>"Reprovado"</formula>
    </cfRule>
  </conditionalFormatting>
  <dataValidations count="1">
    <dataValidation allowBlank="true" errorStyle="stop" operator="between" showDropDown="false" showErrorMessage="false" showInputMessage="false" sqref="G5:G10" type="list">
      <formula1>"Planejado,Em andamento,Concluído,Atrasado"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9</v>
      </c>
      <c r="H1" s="2" t="s">
        <v>6</v>
      </c>
      <c r="I1" s="2" t="s">
        <v>67</v>
      </c>
    </row>
    <row r="2" customFormat="false" ht="28.35" hidden="false" customHeight="false" outlineLevel="0" collapsed="false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23</v>
      </c>
      <c r="H2" s="4" t="s">
        <v>74</v>
      </c>
      <c r="I2" s="4" t="s">
        <v>75</v>
      </c>
    </row>
    <row r="3" customFormat="false" ht="28.35" hidden="false" customHeight="false" outlineLevel="0" collapsed="false">
      <c r="A3" s="4" t="s">
        <v>76</v>
      </c>
      <c r="B3" s="4" t="s">
        <v>69</v>
      </c>
      <c r="C3" s="4" t="s">
        <v>77</v>
      </c>
      <c r="D3" s="4" t="s">
        <v>71</v>
      </c>
      <c r="E3" s="4" t="s">
        <v>68</v>
      </c>
      <c r="F3" s="4" t="s">
        <v>73</v>
      </c>
      <c r="G3" s="4" t="s">
        <v>23</v>
      </c>
      <c r="H3" s="4" t="s">
        <v>74</v>
      </c>
      <c r="I3" s="4" t="s">
        <v>78</v>
      </c>
    </row>
    <row r="4" customFormat="false" ht="15" hidden="false" customHeight="false" outlineLevel="0" collapsed="false">
      <c r="A4" s="4" t="s">
        <v>79</v>
      </c>
      <c r="B4" s="4" t="s">
        <v>69</v>
      </c>
      <c r="C4" s="4" t="s">
        <v>80</v>
      </c>
      <c r="D4" s="4" t="s">
        <v>71</v>
      </c>
      <c r="E4" s="4" t="s">
        <v>76</v>
      </c>
      <c r="F4" s="4" t="s">
        <v>81</v>
      </c>
      <c r="G4" s="4" t="s">
        <v>23</v>
      </c>
      <c r="H4" s="4" t="s">
        <v>74</v>
      </c>
      <c r="I4" s="4" t="s">
        <v>82</v>
      </c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85</v>
      </c>
      <c r="D5" s="4" t="s">
        <v>71</v>
      </c>
      <c r="E5" s="4" t="s">
        <v>68</v>
      </c>
      <c r="F5" s="4" t="s">
        <v>73</v>
      </c>
      <c r="G5" s="4" t="s">
        <v>23</v>
      </c>
      <c r="H5" s="4" t="s">
        <v>74</v>
      </c>
      <c r="I5" s="4" t="s">
        <v>86</v>
      </c>
    </row>
    <row r="6" customFormat="false" ht="15" hidden="false" customHeight="false" outlineLevel="0" collapsed="false">
      <c r="A6" s="4" t="s">
        <v>87</v>
      </c>
      <c r="B6" s="4" t="s">
        <v>84</v>
      </c>
      <c r="C6" s="4" t="s">
        <v>88</v>
      </c>
      <c r="D6" s="4" t="s">
        <v>71</v>
      </c>
      <c r="E6" s="4" t="s">
        <v>83</v>
      </c>
      <c r="F6" s="4" t="s">
        <v>73</v>
      </c>
      <c r="G6" s="4" t="s">
        <v>23</v>
      </c>
      <c r="H6" s="4" t="s">
        <v>89</v>
      </c>
      <c r="I6" s="4" t="s">
        <v>90</v>
      </c>
    </row>
    <row r="7" customFormat="false" ht="28.35" hidden="false" customHeight="false" outlineLevel="0" collapsed="false">
      <c r="A7" s="4" t="s">
        <v>91</v>
      </c>
      <c r="B7" s="4" t="s">
        <v>92</v>
      </c>
      <c r="C7" s="4" t="s">
        <v>93</v>
      </c>
      <c r="D7" s="4" t="s">
        <v>71</v>
      </c>
      <c r="E7" s="4" t="s">
        <v>94</v>
      </c>
      <c r="F7" s="4" t="s">
        <v>95</v>
      </c>
      <c r="G7" s="4" t="s">
        <v>23</v>
      </c>
      <c r="H7" s="4" t="s">
        <v>89</v>
      </c>
      <c r="I7" s="4" t="s">
        <v>96</v>
      </c>
    </row>
    <row r="8" customFormat="false" ht="28.35" hidden="false" customHeight="false" outlineLevel="0" collapsed="false">
      <c r="A8" s="4" t="s">
        <v>97</v>
      </c>
      <c r="B8" s="4" t="s">
        <v>92</v>
      </c>
      <c r="C8" s="4" t="s">
        <v>98</v>
      </c>
      <c r="D8" s="4" t="s">
        <v>71</v>
      </c>
      <c r="E8" s="4" t="s">
        <v>91</v>
      </c>
      <c r="F8" s="4" t="s">
        <v>95</v>
      </c>
      <c r="G8" s="4" t="s">
        <v>23</v>
      </c>
      <c r="H8" s="4" t="s">
        <v>89</v>
      </c>
      <c r="I8" s="4" t="s">
        <v>99</v>
      </c>
    </row>
    <row r="9" customFormat="false" ht="28.35" hidden="false" customHeight="false" outlineLevel="0" collapsed="false">
      <c r="A9" s="4" t="s">
        <v>100</v>
      </c>
      <c r="B9" s="4" t="s">
        <v>50</v>
      </c>
      <c r="C9" s="4" t="s">
        <v>101</v>
      </c>
      <c r="D9" s="4" t="s">
        <v>71</v>
      </c>
      <c r="E9" s="4" t="s">
        <v>91</v>
      </c>
      <c r="F9" s="4" t="s">
        <v>95</v>
      </c>
      <c r="G9" s="4" t="s">
        <v>23</v>
      </c>
      <c r="H9" s="4" t="s">
        <v>89</v>
      </c>
      <c r="I9" s="4" t="s">
        <v>102</v>
      </c>
    </row>
    <row r="10" customFormat="false" ht="28.35" hidden="false" customHeight="false" outlineLevel="0" collapsed="false">
      <c r="A10" s="4" t="s">
        <v>103</v>
      </c>
      <c r="B10" s="4" t="s">
        <v>50</v>
      </c>
      <c r="C10" s="4" t="s">
        <v>104</v>
      </c>
      <c r="D10" s="4" t="s">
        <v>71</v>
      </c>
      <c r="E10" s="4" t="s">
        <v>100</v>
      </c>
      <c r="F10" s="4" t="s">
        <v>95</v>
      </c>
      <c r="G10" s="4" t="s">
        <v>23</v>
      </c>
      <c r="H10" s="4" t="s">
        <v>89</v>
      </c>
      <c r="I10" s="4" t="s">
        <v>105</v>
      </c>
    </row>
    <row r="11" customFormat="false" ht="28.35" hidden="false" customHeight="false" outlineLevel="0" collapsed="false">
      <c r="A11" s="4" t="s">
        <v>106</v>
      </c>
      <c r="B11" s="4" t="s">
        <v>50</v>
      </c>
      <c r="C11" s="4" t="s">
        <v>107</v>
      </c>
      <c r="D11" s="4" t="s">
        <v>71</v>
      </c>
      <c r="E11" s="4" t="s">
        <v>100</v>
      </c>
      <c r="F11" s="4" t="s">
        <v>95</v>
      </c>
      <c r="G11" s="4" t="s">
        <v>23</v>
      </c>
      <c r="H11" s="4" t="s">
        <v>89</v>
      </c>
      <c r="I11" s="4" t="s">
        <v>108</v>
      </c>
    </row>
    <row r="12" customFormat="false" ht="15" hidden="false" customHeight="false" outlineLevel="0" collapsed="false">
      <c r="A12" s="4" t="s">
        <v>109</v>
      </c>
      <c r="B12" s="4" t="s">
        <v>50</v>
      </c>
      <c r="C12" s="4" t="s">
        <v>110</v>
      </c>
      <c r="D12" s="4" t="s">
        <v>71</v>
      </c>
      <c r="E12" s="4" t="s">
        <v>111</v>
      </c>
      <c r="F12" s="4" t="s">
        <v>95</v>
      </c>
      <c r="G12" s="4" t="s">
        <v>23</v>
      </c>
      <c r="H12" s="4" t="s">
        <v>112</v>
      </c>
      <c r="I12" s="4" t="s">
        <v>113</v>
      </c>
    </row>
    <row r="13" customFormat="false" ht="15" hidden="false" customHeight="false" outlineLevel="0" collapsed="false">
      <c r="A13" s="4" t="s">
        <v>114</v>
      </c>
      <c r="B13" s="4" t="s">
        <v>115</v>
      </c>
      <c r="C13" s="4" t="s">
        <v>116</v>
      </c>
      <c r="D13" s="4" t="s">
        <v>71</v>
      </c>
      <c r="E13" s="4" t="s">
        <v>117</v>
      </c>
      <c r="F13" s="4" t="s">
        <v>95</v>
      </c>
      <c r="G13" s="4" t="s">
        <v>23</v>
      </c>
      <c r="H13" s="4" t="s">
        <v>112</v>
      </c>
      <c r="I13" s="4" t="s">
        <v>118</v>
      </c>
    </row>
    <row r="14" customFormat="false" ht="15" hidden="false" customHeight="false" outlineLevel="0" collapsed="false">
      <c r="A14" s="4" t="s">
        <v>119</v>
      </c>
      <c r="B14" s="4" t="s">
        <v>115</v>
      </c>
      <c r="C14" s="4" t="s">
        <v>120</v>
      </c>
      <c r="D14" s="4" t="s">
        <v>71</v>
      </c>
      <c r="E14" s="4" t="s">
        <v>121</v>
      </c>
      <c r="F14" s="4" t="s">
        <v>95</v>
      </c>
      <c r="G14" s="4" t="s">
        <v>23</v>
      </c>
      <c r="H14" s="4" t="s">
        <v>112</v>
      </c>
      <c r="I14" s="4"/>
    </row>
    <row r="15" customFormat="false" ht="28.35" hidden="false" customHeight="false" outlineLevel="0" collapsed="false">
      <c r="A15" s="4" t="s">
        <v>122</v>
      </c>
      <c r="B15" s="4" t="s">
        <v>115</v>
      </c>
      <c r="C15" s="4" t="s">
        <v>123</v>
      </c>
      <c r="D15" s="4" t="s">
        <v>71</v>
      </c>
      <c r="E15" s="4" t="s">
        <v>124</v>
      </c>
      <c r="F15" s="4" t="s">
        <v>95</v>
      </c>
      <c r="G15" s="4" t="s">
        <v>23</v>
      </c>
      <c r="H15" s="4" t="s">
        <v>112</v>
      </c>
      <c r="I15" s="4" t="s">
        <v>125</v>
      </c>
    </row>
    <row r="16" customFormat="false" ht="15" hidden="false" customHeight="false" outlineLevel="0" collapsed="false">
      <c r="A16" s="4" t="s">
        <v>126</v>
      </c>
      <c r="B16" s="4" t="s">
        <v>115</v>
      </c>
      <c r="C16" s="4" t="s">
        <v>127</v>
      </c>
      <c r="D16" s="4" t="s">
        <v>71</v>
      </c>
      <c r="E16" s="4" t="s">
        <v>122</v>
      </c>
      <c r="F16" s="4" t="s">
        <v>95</v>
      </c>
      <c r="G16" s="4" t="s">
        <v>23</v>
      </c>
      <c r="H16" s="4" t="s">
        <v>13</v>
      </c>
      <c r="I16" s="4"/>
    </row>
    <row r="17" customFormat="false" ht="15" hidden="false" customHeight="false" outlineLevel="0" collapsed="false">
      <c r="A17" s="4" t="s">
        <v>128</v>
      </c>
      <c r="B17" s="4" t="s">
        <v>115</v>
      </c>
      <c r="C17" s="4" t="s">
        <v>129</v>
      </c>
      <c r="D17" s="4" t="s">
        <v>71</v>
      </c>
      <c r="E17" s="4" t="s">
        <v>130</v>
      </c>
      <c r="F17" s="4" t="s">
        <v>95</v>
      </c>
      <c r="G17" s="4" t="s">
        <v>57</v>
      </c>
      <c r="H17" s="4" t="s">
        <v>13</v>
      </c>
      <c r="I17" s="4" t="s">
        <v>131</v>
      </c>
    </row>
    <row r="18" customFormat="false" ht="15" hidden="false" customHeight="false" outlineLevel="0" collapsed="false">
      <c r="A18" s="4" t="s">
        <v>132</v>
      </c>
      <c r="B18" s="4" t="s">
        <v>115</v>
      </c>
      <c r="C18" s="4" t="s">
        <v>133</v>
      </c>
      <c r="D18" s="4" t="s">
        <v>71</v>
      </c>
      <c r="E18" s="4" t="s">
        <v>134</v>
      </c>
      <c r="F18" s="4" t="s">
        <v>95</v>
      </c>
      <c r="G18" s="4" t="s">
        <v>57</v>
      </c>
      <c r="H18" s="4" t="s">
        <v>13</v>
      </c>
      <c r="I18" s="4" t="s">
        <v>131</v>
      </c>
    </row>
    <row r="19" customFormat="false" ht="15" hidden="false" customHeight="false" outlineLevel="0" collapsed="false">
      <c r="A19" s="4" t="s">
        <v>135</v>
      </c>
      <c r="B19" s="4" t="s">
        <v>115</v>
      </c>
      <c r="C19" s="4" t="s">
        <v>136</v>
      </c>
      <c r="D19" s="4" t="s">
        <v>71</v>
      </c>
      <c r="E19" s="4" t="s">
        <v>122</v>
      </c>
      <c r="F19" s="4" t="s">
        <v>95</v>
      </c>
      <c r="G19" s="4" t="s">
        <v>23</v>
      </c>
      <c r="H19" s="4" t="s">
        <v>13</v>
      </c>
      <c r="I19" s="4" t="s">
        <v>137</v>
      </c>
    </row>
    <row r="20" customFormat="false" ht="15" hidden="false" customHeight="false" outlineLevel="0" collapsed="false">
      <c r="A20" s="4" t="s">
        <v>138</v>
      </c>
      <c r="B20" s="4" t="s">
        <v>139</v>
      </c>
      <c r="C20" s="4" t="s">
        <v>140</v>
      </c>
      <c r="D20" s="4" t="s">
        <v>71</v>
      </c>
      <c r="E20" s="4" t="s">
        <v>106</v>
      </c>
      <c r="F20" s="4" t="s">
        <v>95</v>
      </c>
      <c r="G20" s="4" t="s">
        <v>23</v>
      </c>
      <c r="H20" s="4" t="s">
        <v>20</v>
      </c>
      <c r="I20" s="4" t="s">
        <v>141</v>
      </c>
    </row>
    <row r="21" customFormat="false" ht="15" hidden="false" customHeight="false" outlineLevel="0" collapsed="false">
      <c r="A21" s="4" t="s">
        <v>142</v>
      </c>
      <c r="B21" s="4" t="s">
        <v>139</v>
      </c>
      <c r="C21" s="4" t="s">
        <v>143</v>
      </c>
      <c r="D21" s="4" t="s">
        <v>71</v>
      </c>
      <c r="E21" s="4" t="s">
        <v>138</v>
      </c>
      <c r="F21" s="4" t="s">
        <v>95</v>
      </c>
      <c r="G21" s="4" t="s">
        <v>23</v>
      </c>
      <c r="H21" s="4" t="s">
        <v>20</v>
      </c>
      <c r="I21" s="4"/>
    </row>
    <row r="22" customFormat="false" ht="28.35" hidden="false" customHeight="false" outlineLevel="0" collapsed="false">
      <c r="A22" s="4" t="s">
        <v>144</v>
      </c>
      <c r="B22" s="4" t="s">
        <v>145</v>
      </c>
      <c r="C22" s="4" t="s">
        <v>146</v>
      </c>
      <c r="D22" s="4" t="s">
        <v>71</v>
      </c>
      <c r="E22" s="4" t="s">
        <v>122</v>
      </c>
      <c r="F22" s="4" t="s">
        <v>95</v>
      </c>
      <c r="G22" s="4" t="s">
        <v>23</v>
      </c>
      <c r="H22" s="4" t="s">
        <v>20</v>
      </c>
      <c r="I22" s="4" t="s">
        <v>147</v>
      </c>
    </row>
    <row r="23" customFormat="false" ht="15" hidden="false" customHeight="false" outlineLevel="0" collapsed="false">
      <c r="A23" s="4" t="s">
        <v>148</v>
      </c>
      <c r="B23" s="4" t="s">
        <v>145</v>
      </c>
      <c r="C23" s="4" t="s">
        <v>149</v>
      </c>
      <c r="D23" s="4" t="s">
        <v>150</v>
      </c>
      <c r="E23" s="4" t="s">
        <v>151</v>
      </c>
      <c r="F23" s="4" t="s">
        <v>95</v>
      </c>
      <c r="G23" s="4" t="s">
        <v>57</v>
      </c>
      <c r="H23" s="4" t="s">
        <v>20</v>
      </c>
      <c r="I23" s="4" t="s">
        <v>152</v>
      </c>
    </row>
    <row r="24" customFormat="false" ht="28.35" hidden="false" customHeight="false" outlineLevel="0" collapsed="false">
      <c r="A24" s="4" t="s">
        <v>153</v>
      </c>
      <c r="B24" s="4" t="s">
        <v>154</v>
      </c>
      <c r="C24" s="4" t="s">
        <v>155</v>
      </c>
      <c r="D24" s="4" t="s">
        <v>71</v>
      </c>
      <c r="E24" s="4" t="s">
        <v>91</v>
      </c>
      <c r="F24" s="4" t="s">
        <v>95</v>
      </c>
      <c r="G24" s="4" t="s">
        <v>23</v>
      </c>
      <c r="H24" s="4" t="s">
        <v>156</v>
      </c>
      <c r="I24" s="4" t="s">
        <v>157</v>
      </c>
    </row>
    <row r="25" customFormat="false" ht="15" hidden="false" customHeight="false" outlineLevel="0" collapsed="false">
      <c r="A25" s="4" t="s">
        <v>158</v>
      </c>
      <c r="B25" s="4" t="s">
        <v>154</v>
      </c>
      <c r="C25" s="4" t="s">
        <v>159</v>
      </c>
      <c r="D25" s="4" t="s">
        <v>71</v>
      </c>
      <c r="E25" s="4" t="s">
        <v>153</v>
      </c>
      <c r="F25" s="4" t="s">
        <v>95</v>
      </c>
      <c r="G25" s="4" t="s">
        <v>23</v>
      </c>
      <c r="H25" s="4" t="s">
        <v>156</v>
      </c>
      <c r="I25" s="4" t="s">
        <v>160</v>
      </c>
    </row>
    <row r="26" customFormat="false" ht="15" hidden="false" customHeight="false" outlineLevel="0" collapsed="false">
      <c r="A26" s="4" t="s">
        <v>161</v>
      </c>
      <c r="B26" s="4" t="s">
        <v>154</v>
      </c>
      <c r="C26" s="4" t="s">
        <v>162</v>
      </c>
      <c r="D26" s="4" t="s">
        <v>71</v>
      </c>
      <c r="E26" s="4" t="s">
        <v>163</v>
      </c>
      <c r="F26" s="4" t="s">
        <v>95</v>
      </c>
      <c r="G26" s="4" t="s">
        <v>57</v>
      </c>
      <c r="H26" s="4" t="s">
        <v>156</v>
      </c>
      <c r="I26" s="4" t="s">
        <v>164</v>
      </c>
    </row>
    <row r="27" customFormat="false" ht="28.35" hidden="false" customHeight="false" outlineLevel="0" collapsed="false">
      <c r="A27" s="4" t="s">
        <v>165</v>
      </c>
      <c r="B27" s="4" t="s">
        <v>166</v>
      </c>
      <c r="C27" s="4" t="s">
        <v>167</v>
      </c>
      <c r="D27" s="4" t="s">
        <v>71</v>
      </c>
      <c r="E27" s="4" t="s">
        <v>111</v>
      </c>
      <c r="F27" s="4" t="s">
        <v>95</v>
      </c>
      <c r="G27" s="4" t="s">
        <v>23</v>
      </c>
      <c r="H27" s="4" t="s">
        <v>156</v>
      </c>
      <c r="I27" s="4" t="s">
        <v>168</v>
      </c>
    </row>
    <row r="28" customFormat="false" ht="15" hidden="false" customHeight="false" outlineLevel="0" collapsed="false">
      <c r="A28" s="4" t="s">
        <v>169</v>
      </c>
      <c r="B28" s="4" t="s">
        <v>166</v>
      </c>
      <c r="C28" s="4" t="s">
        <v>170</v>
      </c>
      <c r="D28" s="4" t="s">
        <v>71</v>
      </c>
      <c r="E28" s="4" t="s">
        <v>165</v>
      </c>
      <c r="F28" s="4" t="s">
        <v>95</v>
      </c>
      <c r="G28" s="4" t="s">
        <v>23</v>
      </c>
      <c r="H28" s="4" t="s">
        <v>27</v>
      </c>
      <c r="I28" s="4" t="s">
        <v>171</v>
      </c>
    </row>
    <row r="29" customFormat="false" ht="15" hidden="false" customHeight="false" outlineLevel="0" collapsed="false">
      <c r="A29" s="4" t="s">
        <v>172</v>
      </c>
      <c r="B29" s="4" t="s">
        <v>166</v>
      </c>
      <c r="C29" s="4" t="s">
        <v>173</v>
      </c>
      <c r="D29" s="4" t="s">
        <v>71</v>
      </c>
      <c r="E29" s="4" t="s">
        <v>174</v>
      </c>
      <c r="F29" s="4" t="s">
        <v>95</v>
      </c>
      <c r="G29" s="4" t="s">
        <v>23</v>
      </c>
      <c r="H29" s="4" t="s">
        <v>27</v>
      </c>
      <c r="I29" s="4" t="s">
        <v>175</v>
      </c>
    </row>
    <row r="30" customFormat="false" ht="28.35" hidden="false" customHeight="false" outlineLevel="0" collapsed="false">
      <c r="A30" s="4" t="s">
        <v>176</v>
      </c>
      <c r="B30" s="4" t="s">
        <v>166</v>
      </c>
      <c r="C30" s="4" t="s">
        <v>177</v>
      </c>
      <c r="D30" s="4" t="s">
        <v>71</v>
      </c>
      <c r="E30" s="4" t="s">
        <v>178</v>
      </c>
      <c r="F30" s="4" t="s">
        <v>95</v>
      </c>
      <c r="G30" s="4" t="s">
        <v>23</v>
      </c>
      <c r="H30" s="4" t="s">
        <v>27</v>
      </c>
      <c r="I30" s="4"/>
    </row>
    <row r="31" customFormat="false" ht="28.35" hidden="false" customHeight="false" outlineLevel="0" collapsed="false">
      <c r="A31" s="4" t="s">
        <v>179</v>
      </c>
      <c r="B31" s="4" t="s">
        <v>166</v>
      </c>
      <c r="C31" s="4" t="s">
        <v>180</v>
      </c>
      <c r="D31" s="4" t="s">
        <v>150</v>
      </c>
      <c r="E31" s="4" t="s">
        <v>176</v>
      </c>
      <c r="F31" s="4" t="s">
        <v>95</v>
      </c>
      <c r="G31" s="4" t="s">
        <v>57</v>
      </c>
      <c r="H31" s="4" t="s">
        <v>27</v>
      </c>
      <c r="I31" s="4" t="s">
        <v>181</v>
      </c>
    </row>
    <row r="32" customFormat="false" ht="15" hidden="false" customHeight="false" outlineLevel="0" collapsed="false">
      <c r="A32" s="4" t="s">
        <v>182</v>
      </c>
      <c r="B32" s="4" t="s">
        <v>183</v>
      </c>
      <c r="C32" s="4" t="s">
        <v>184</v>
      </c>
      <c r="D32" s="4" t="s">
        <v>71</v>
      </c>
      <c r="E32" s="4" t="s">
        <v>158</v>
      </c>
      <c r="F32" s="4" t="s">
        <v>95</v>
      </c>
      <c r="G32" s="4" t="s">
        <v>16</v>
      </c>
      <c r="H32" s="4" t="s">
        <v>185</v>
      </c>
      <c r="I32" s="4" t="s">
        <v>186</v>
      </c>
    </row>
    <row r="33" customFormat="false" ht="28.35" hidden="false" customHeight="false" outlineLevel="0" collapsed="false">
      <c r="A33" s="4" t="s">
        <v>187</v>
      </c>
      <c r="B33" s="4" t="s">
        <v>183</v>
      </c>
      <c r="C33" s="4" t="s">
        <v>188</v>
      </c>
      <c r="D33" s="4" t="s">
        <v>150</v>
      </c>
      <c r="E33" s="4" t="s">
        <v>189</v>
      </c>
      <c r="F33" s="4" t="s">
        <v>95</v>
      </c>
      <c r="G33" s="4" t="s">
        <v>57</v>
      </c>
      <c r="H33" s="4" t="s">
        <v>185</v>
      </c>
      <c r="I33" s="4" t="s">
        <v>190</v>
      </c>
    </row>
    <row r="34" customFormat="false" ht="28.35" hidden="false" customHeight="false" outlineLevel="0" collapsed="false">
      <c r="A34" s="4" t="s">
        <v>191</v>
      </c>
      <c r="B34" s="4" t="s">
        <v>192</v>
      </c>
      <c r="C34" s="4" t="s">
        <v>193</v>
      </c>
      <c r="D34" s="4" t="s">
        <v>71</v>
      </c>
      <c r="E34" s="4" t="s">
        <v>100</v>
      </c>
      <c r="F34" s="4" t="s">
        <v>95</v>
      </c>
      <c r="G34" s="4" t="s">
        <v>23</v>
      </c>
      <c r="H34" s="4" t="s">
        <v>185</v>
      </c>
      <c r="I34" s="4" t="s">
        <v>194</v>
      </c>
    </row>
    <row r="35" customFormat="false" ht="15" hidden="false" customHeight="false" outlineLevel="0" collapsed="false">
      <c r="A35" s="4" t="s">
        <v>195</v>
      </c>
      <c r="B35" s="4" t="s">
        <v>192</v>
      </c>
      <c r="C35" s="4" t="s">
        <v>196</v>
      </c>
      <c r="D35" s="4" t="s">
        <v>71</v>
      </c>
      <c r="E35" s="4" t="s">
        <v>197</v>
      </c>
      <c r="F35" s="4" t="s">
        <v>95</v>
      </c>
      <c r="G35" s="4" t="s">
        <v>57</v>
      </c>
      <c r="H35" s="4" t="s">
        <v>185</v>
      </c>
      <c r="I35" s="4"/>
    </row>
    <row r="36" customFormat="false" ht="28.35" hidden="false" customHeight="false" outlineLevel="0" collapsed="false">
      <c r="A36" s="4" t="s">
        <v>198</v>
      </c>
      <c r="B36" s="4" t="s">
        <v>192</v>
      </c>
      <c r="C36" s="4" t="s">
        <v>199</v>
      </c>
      <c r="D36" s="4" t="s">
        <v>71</v>
      </c>
      <c r="E36" s="4" t="s">
        <v>191</v>
      </c>
      <c r="F36" s="4" t="s">
        <v>95</v>
      </c>
      <c r="G36" s="4" t="s">
        <v>57</v>
      </c>
      <c r="H36" s="4" t="s">
        <v>33</v>
      </c>
      <c r="I36" s="4" t="s">
        <v>200</v>
      </c>
    </row>
    <row r="37" customFormat="false" ht="15" hidden="false" customHeight="false" outlineLevel="0" collapsed="false">
      <c r="A37" s="4" t="s">
        <v>201</v>
      </c>
      <c r="B37" s="4" t="s">
        <v>202</v>
      </c>
      <c r="C37" s="4" t="s">
        <v>203</v>
      </c>
      <c r="D37" s="4" t="s">
        <v>150</v>
      </c>
      <c r="E37" s="4" t="s">
        <v>204</v>
      </c>
      <c r="F37" s="4" t="s">
        <v>81</v>
      </c>
      <c r="G37" s="4" t="s">
        <v>57</v>
      </c>
      <c r="H37" s="4" t="s">
        <v>33</v>
      </c>
      <c r="I37" s="4" t="s">
        <v>205</v>
      </c>
    </row>
    <row r="38" customFormat="false" ht="15" hidden="false" customHeight="false" outlineLevel="0" collapsed="false">
      <c r="A38" s="4" t="s">
        <v>206</v>
      </c>
      <c r="B38" s="4" t="s">
        <v>202</v>
      </c>
      <c r="C38" s="4" t="s">
        <v>207</v>
      </c>
      <c r="D38" s="4" t="s">
        <v>150</v>
      </c>
      <c r="E38" s="4" t="s">
        <v>208</v>
      </c>
      <c r="F38" s="4" t="s">
        <v>95</v>
      </c>
      <c r="G38" s="4" t="s">
        <v>57</v>
      </c>
      <c r="H38" s="4" t="s">
        <v>33</v>
      </c>
      <c r="I38" s="4"/>
    </row>
    <row r="39" customFormat="false" ht="15" hidden="false" customHeight="false" outlineLevel="0" collapsed="false">
      <c r="A39" s="4" t="s">
        <v>209</v>
      </c>
      <c r="B39" s="4" t="s">
        <v>210</v>
      </c>
      <c r="C39" s="4" t="s">
        <v>211</v>
      </c>
      <c r="D39" s="4" t="s">
        <v>150</v>
      </c>
      <c r="E39" s="4" t="s">
        <v>212</v>
      </c>
      <c r="F39" s="4" t="s">
        <v>95</v>
      </c>
      <c r="G39" s="4" t="s">
        <v>16</v>
      </c>
      <c r="H39" s="4" t="s">
        <v>213</v>
      </c>
      <c r="I39" s="4" t="s">
        <v>214</v>
      </c>
    </row>
    <row r="40" customFormat="false" ht="15" hidden="false" customHeight="false" outlineLevel="0" collapsed="false">
      <c r="A40" s="4" t="s">
        <v>215</v>
      </c>
      <c r="B40" s="4" t="s">
        <v>210</v>
      </c>
      <c r="C40" s="4" t="s">
        <v>216</v>
      </c>
      <c r="D40" s="4" t="s">
        <v>71</v>
      </c>
      <c r="E40" s="4" t="s">
        <v>212</v>
      </c>
      <c r="F40" s="4" t="s">
        <v>217</v>
      </c>
      <c r="G40" s="4" t="s">
        <v>23</v>
      </c>
      <c r="H40" s="4" t="s">
        <v>213</v>
      </c>
      <c r="I40" s="4" t="s">
        <v>218</v>
      </c>
    </row>
    <row r="41" customFormat="false" ht="28.35" hidden="false" customHeight="false" outlineLevel="0" collapsed="false">
      <c r="A41" s="4" t="s">
        <v>219</v>
      </c>
      <c r="B41" s="4" t="s">
        <v>220</v>
      </c>
      <c r="C41" s="4" t="s">
        <v>221</v>
      </c>
      <c r="D41" s="4" t="s">
        <v>71</v>
      </c>
      <c r="E41" s="4" t="s">
        <v>212</v>
      </c>
      <c r="F41" s="4" t="s">
        <v>217</v>
      </c>
      <c r="G41" s="4" t="s">
        <v>57</v>
      </c>
      <c r="H41" s="4" t="s">
        <v>213</v>
      </c>
      <c r="I41" s="4"/>
    </row>
    <row r="42" customFormat="false" ht="15" hidden="false" customHeight="false" outlineLevel="0" collapsed="false">
      <c r="A42" s="4" t="s">
        <v>222</v>
      </c>
      <c r="B42" s="4" t="s">
        <v>223</v>
      </c>
      <c r="C42" s="4" t="s">
        <v>224</v>
      </c>
      <c r="D42" s="4" t="s">
        <v>150</v>
      </c>
      <c r="E42" s="4" t="s">
        <v>109</v>
      </c>
      <c r="F42" s="4" t="s">
        <v>95</v>
      </c>
      <c r="G42" s="4" t="s">
        <v>57</v>
      </c>
      <c r="H42" s="4" t="s">
        <v>213</v>
      </c>
      <c r="I42" s="4" t="s">
        <v>225</v>
      </c>
    </row>
    <row r="43" customFormat="false" ht="28.35" hidden="false" customHeight="false" outlineLevel="0" collapsed="false">
      <c r="A43" s="4" t="s">
        <v>226</v>
      </c>
      <c r="B43" s="4" t="s">
        <v>227</v>
      </c>
      <c r="C43" s="4" t="s">
        <v>228</v>
      </c>
      <c r="D43" s="4" t="s">
        <v>71</v>
      </c>
      <c r="E43" s="4" t="s">
        <v>229</v>
      </c>
      <c r="F43" s="4" t="s">
        <v>217</v>
      </c>
      <c r="G43" s="4" t="s">
        <v>23</v>
      </c>
      <c r="H43" s="4" t="s">
        <v>213</v>
      </c>
      <c r="I43" s="4" t="s">
        <v>230</v>
      </c>
    </row>
    <row r="44" customFormat="false" ht="15" hidden="false" customHeight="false" outlineLevel="0" collapsed="false">
      <c r="A44" s="4" t="s">
        <v>231</v>
      </c>
      <c r="B44" s="4" t="s">
        <v>227</v>
      </c>
      <c r="C44" s="4" t="s">
        <v>232</v>
      </c>
      <c r="D44" s="4" t="s">
        <v>71</v>
      </c>
      <c r="E44" s="4" t="s">
        <v>233</v>
      </c>
      <c r="F44" s="4" t="s">
        <v>217</v>
      </c>
      <c r="G44" s="4" t="s">
        <v>23</v>
      </c>
      <c r="H44" s="4" t="s">
        <v>213</v>
      </c>
      <c r="I44" s="4" t="s">
        <v>234</v>
      </c>
    </row>
    <row r="45" customFormat="false" ht="15" hidden="false" customHeight="false" outlineLevel="0" collapsed="false">
      <c r="A45" s="4" t="s">
        <v>235</v>
      </c>
      <c r="B45" s="4" t="s">
        <v>227</v>
      </c>
      <c r="C45" s="4" t="s">
        <v>236</v>
      </c>
      <c r="D45" s="4" t="s">
        <v>71</v>
      </c>
      <c r="E45" s="4" t="s">
        <v>237</v>
      </c>
      <c r="F45" s="4" t="s">
        <v>217</v>
      </c>
      <c r="G45" s="4" t="s">
        <v>16</v>
      </c>
      <c r="H45" s="4" t="s">
        <v>238</v>
      </c>
      <c r="I45" s="4" t="s">
        <v>239</v>
      </c>
    </row>
    <row r="46" customFormat="false" ht="15" hidden="false" customHeight="false" outlineLevel="0" collapsed="false">
      <c r="A46" s="4" t="s">
        <v>240</v>
      </c>
      <c r="B46" s="4" t="s">
        <v>227</v>
      </c>
      <c r="C46" s="4" t="s">
        <v>241</v>
      </c>
      <c r="D46" s="4" t="s">
        <v>71</v>
      </c>
      <c r="E46" s="4" t="s">
        <v>242</v>
      </c>
      <c r="F46" s="4" t="s">
        <v>217</v>
      </c>
      <c r="G46" s="4" t="s">
        <v>57</v>
      </c>
      <c r="H46" s="4" t="s">
        <v>238</v>
      </c>
      <c r="I46" s="4"/>
    </row>
    <row r="47" customFormat="false" ht="28.35" hidden="false" customHeight="false" outlineLevel="0" collapsed="false">
      <c r="A47" s="4" t="s">
        <v>243</v>
      </c>
      <c r="B47" s="4" t="s">
        <v>244</v>
      </c>
      <c r="C47" s="4" t="s">
        <v>245</v>
      </c>
      <c r="D47" s="4" t="s">
        <v>71</v>
      </c>
      <c r="E47" s="4" t="s">
        <v>246</v>
      </c>
      <c r="F47" s="4" t="s">
        <v>81</v>
      </c>
      <c r="G47" s="4" t="s">
        <v>57</v>
      </c>
      <c r="H47" s="4" t="s">
        <v>238</v>
      </c>
      <c r="I47" s="4" t="s">
        <v>247</v>
      </c>
    </row>
    <row r="48" customFormat="false" ht="28.35" hidden="false" customHeight="false" outlineLevel="0" collapsed="false">
      <c r="A48" s="4" t="s">
        <v>248</v>
      </c>
      <c r="B48" s="4" t="s">
        <v>244</v>
      </c>
      <c r="C48" s="4" t="s">
        <v>249</v>
      </c>
      <c r="D48" s="4" t="s">
        <v>71</v>
      </c>
      <c r="E48" s="4" t="s">
        <v>243</v>
      </c>
      <c r="F48" s="4" t="s">
        <v>81</v>
      </c>
      <c r="G48" s="4" t="s">
        <v>57</v>
      </c>
      <c r="H48" s="4" t="s">
        <v>238</v>
      </c>
      <c r="I48" s="4" t="s">
        <v>250</v>
      </c>
    </row>
    <row r="49" customFormat="false" ht="15" hidden="false" customHeight="false" outlineLevel="0" collapsed="false">
      <c r="A49" s="4" t="s">
        <v>251</v>
      </c>
      <c r="B49" s="4" t="s">
        <v>244</v>
      </c>
      <c r="C49" s="4" t="s">
        <v>252</v>
      </c>
      <c r="D49" s="4" t="s">
        <v>71</v>
      </c>
      <c r="E49" s="4" t="s">
        <v>243</v>
      </c>
      <c r="F49" s="4" t="s">
        <v>95</v>
      </c>
      <c r="G49" s="4" t="s">
        <v>57</v>
      </c>
      <c r="H49" s="4" t="s">
        <v>39</v>
      </c>
      <c r="I49" s="4" t="s">
        <v>253</v>
      </c>
    </row>
    <row r="50" customFormat="false" ht="28.35" hidden="false" customHeight="false" outlineLevel="0" collapsed="false">
      <c r="A50" s="4" t="s">
        <v>254</v>
      </c>
      <c r="B50" s="4" t="s">
        <v>244</v>
      </c>
      <c r="C50" s="4" t="s">
        <v>255</v>
      </c>
      <c r="D50" s="4" t="s">
        <v>150</v>
      </c>
      <c r="E50" s="4" t="s">
        <v>243</v>
      </c>
      <c r="F50" s="4" t="s">
        <v>81</v>
      </c>
      <c r="G50" s="4" t="s">
        <v>57</v>
      </c>
      <c r="H50" s="4" t="s">
        <v>39</v>
      </c>
      <c r="I50" s="4"/>
    </row>
    <row r="51" customFormat="false" ht="28.35" hidden="false" customHeight="false" outlineLevel="0" collapsed="false">
      <c r="A51" s="4" t="s">
        <v>256</v>
      </c>
      <c r="B51" s="4" t="s">
        <v>81</v>
      </c>
      <c r="C51" s="4" t="s">
        <v>257</v>
      </c>
      <c r="D51" s="4" t="s">
        <v>71</v>
      </c>
      <c r="E51" s="4" t="s">
        <v>258</v>
      </c>
      <c r="F51" s="4" t="s">
        <v>81</v>
      </c>
      <c r="G51" s="4" t="s">
        <v>57</v>
      </c>
      <c r="H51" s="4" t="s">
        <v>39</v>
      </c>
      <c r="I51" s="4"/>
    </row>
    <row r="52" customFormat="false" ht="15" hidden="false" customHeight="false" outlineLevel="0" collapsed="false">
      <c r="A52" s="4" t="s">
        <v>259</v>
      </c>
      <c r="B52" s="4" t="s">
        <v>81</v>
      </c>
      <c r="C52" s="4" t="s">
        <v>260</v>
      </c>
      <c r="D52" s="4" t="s">
        <v>71</v>
      </c>
      <c r="E52" s="4" t="s">
        <v>261</v>
      </c>
      <c r="F52" s="4" t="s">
        <v>81</v>
      </c>
      <c r="G52" s="4" t="s">
        <v>16</v>
      </c>
      <c r="H52" s="4" t="s">
        <v>45</v>
      </c>
      <c r="I52" s="4" t="s">
        <v>262</v>
      </c>
    </row>
    <row r="53" customFormat="false" ht="15" hidden="false" customHeight="false" outlineLevel="0" collapsed="false">
      <c r="A53" s="4" t="s">
        <v>263</v>
      </c>
      <c r="B53" s="4" t="s">
        <v>264</v>
      </c>
      <c r="C53" s="4" t="s">
        <v>265</v>
      </c>
      <c r="D53" s="4" t="s">
        <v>71</v>
      </c>
      <c r="E53" s="4" t="s">
        <v>261</v>
      </c>
      <c r="F53" s="4" t="s">
        <v>95</v>
      </c>
      <c r="G53" s="4" t="s">
        <v>23</v>
      </c>
      <c r="H53" s="4" t="s">
        <v>45</v>
      </c>
      <c r="I53" s="4" t="s">
        <v>53</v>
      </c>
    </row>
    <row r="54" customFormat="false" ht="15" hidden="false" customHeight="false" outlineLevel="0" collapsed="false">
      <c r="A54" s="4" t="s">
        <v>266</v>
      </c>
      <c r="B54" s="4" t="s">
        <v>223</v>
      </c>
      <c r="C54" s="4" t="s">
        <v>267</v>
      </c>
      <c r="D54" s="4" t="s">
        <v>71</v>
      </c>
      <c r="E54" s="4" t="s">
        <v>268</v>
      </c>
      <c r="F54" s="4" t="s">
        <v>95</v>
      </c>
      <c r="G54" s="4" t="s">
        <v>57</v>
      </c>
      <c r="H54" s="4" t="s">
        <v>45</v>
      </c>
      <c r="I54" s="4"/>
    </row>
    <row r="55" customFormat="false" ht="15" hidden="false" customHeight="false" outlineLevel="0" collapsed="false">
      <c r="A55" s="4" t="s">
        <v>269</v>
      </c>
      <c r="B55" s="4" t="s">
        <v>270</v>
      </c>
      <c r="C55" s="4" t="s">
        <v>271</v>
      </c>
      <c r="D55" s="4" t="s">
        <v>71</v>
      </c>
      <c r="E55" s="4" t="s">
        <v>272</v>
      </c>
      <c r="F55" s="4" t="s">
        <v>273</v>
      </c>
      <c r="G55" s="4" t="s">
        <v>57</v>
      </c>
      <c r="H55" s="4" t="s">
        <v>45</v>
      </c>
      <c r="I55" s="4"/>
    </row>
    <row r="56" customFormat="false" ht="15" hidden="false" customHeight="false" outlineLevel="0" collapsed="false">
      <c r="A56" s="4" t="s">
        <v>274</v>
      </c>
      <c r="B56" s="4" t="s">
        <v>264</v>
      </c>
      <c r="C56" s="4" t="s">
        <v>275</v>
      </c>
      <c r="D56" s="4" t="s">
        <v>71</v>
      </c>
      <c r="E56" s="4" t="s">
        <v>269</v>
      </c>
      <c r="F56" s="4" t="s">
        <v>31</v>
      </c>
      <c r="G56" s="4" t="s">
        <v>57</v>
      </c>
      <c r="H56" s="4" t="s">
        <v>45</v>
      </c>
      <c r="I56" s="4"/>
    </row>
  </sheetData>
  <conditionalFormatting sqref="G2:G56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0">
      <formula>"Aprovado"</formula>
    </cfRule>
    <cfRule type="cellIs" priority="4" operator="equal" aboveAverage="0" equalAverage="0" bottom="0" percent="0" rank="0" text="" dxfId="1">
      <formula>"Em andamento"</formula>
    </cfRule>
    <cfRule type="cellIs" priority="5" operator="equal" aboveAverage="0" equalAverage="0" bottom="0" percent="0" rank="0" text="" dxfId="2">
      <formula>"Bloqueado"</formula>
    </cfRule>
    <cfRule type="cellIs" priority="6" operator="equal" aboveAverage="0" equalAverage="0" bottom="0" percent="0" rank="0" text="" dxfId="2">
      <formula>"Reprovado"</formula>
    </cfRule>
  </conditionalFormatting>
  <dataValidations count="2">
    <dataValidation allowBlank="true" errorStyle="stop" operator="between" showDropDown="false" showErrorMessage="false" showInputMessage="false" sqref="D2:D56" type="list">
      <formula1>"Alta,Média,Baixa"</formula1>
      <formula2>0</formula2>
    </dataValidation>
    <dataValidation allowBlank="true" errorStyle="stop" operator="between" showDropDown="false" showErrorMessage="false" showInputMessage="false" sqref="G2:G56" type="list">
      <formula1>"Backlog,Não iniciado,Em andamento,Bloqueado,Concluído"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70"/>
    <col collapsed="false" customWidth="true" hidden="false" outlineLevel="0" max="7" min="7" style="0" width="28"/>
  </cols>
  <sheetData>
    <row r="1" customFormat="false" ht="28.35" hidden="false" customHeight="false" outlineLevel="0" collapsed="false">
      <c r="A1" s="2" t="s">
        <v>6</v>
      </c>
      <c r="B1" s="2" t="s">
        <v>276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7</v>
      </c>
    </row>
    <row r="2" customFormat="false" ht="15" hidden="false" customHeight="false" outlineLevel="0" collapsed="false">
      <c r="A2" s="4" t="s">
        <v>74</v>
      </c>
      <c r="B2" s="4" t="s">
        <v>281</v>
      </c>
      <c r="C2" s="4" t="n">
        <v>65</v>
      </c>
      <c r="D2" s="4" t="n">
        <v>25</v>
      </c>
      <c r="E2" s="4" t="n">
        <v>10</v>
      </c>
      <c r="F2" s="4" t="s">
        <v>282</v>
      </c>
      <c r="G2" s="4"/>
    </row>
    <row r="3" customFormat="false" ht="15" hidden="false" customHeight="false" outlineLevel="0" collapsed="false">
      <c r="A3" s="4" t="s">
        <v>89</v>
      </c>
      <c r="B3" s="4" t="s">
        <v>283</v>
      </c>
      <c r="C3" s="4" t="n">
        <v>65</v>
      </c>
      <c r="D3" s="4" t="n">
        <v>25</v>
      </c>
      <c r="E3" s="4" t="n">
        <v>10</v>
      </c>
      <c r="F3" s="4" t="s">
        <v>284</v>
      </c>
      <c r="G3" s="4"/>
    </row>
    <row r="4" customFormat="false" ht="15" hidden="false" customHeight="false" outlineLevel="0" collapsed="false">
      <c r="A4" s="4" t="s">
        <v>112</v>
      </c>
      <c r="B4" s="4" t="s">
        <v>43</v>
      </c>
      <c r="C4" s="4" t="n">
        <v>85</v>
      </c>
      <c r="D4" s="4" t="n">
        <v>10</v>
      </c>
      <c r="E4" s="4" t="n">
        <v>5</v>
      </c>
      <c r="F4" s="4" t="s">
        <v>285</v>
      </c>
      <c r="G4" s="4"/>
    </row>
    <row r="5" customFormat="false" ht="15" hidden="false" customHeight="false" outlineLevel="0" collapsed="false">
      <c r="A5" s="4" t="s">
        <v>13</v>
      </c>
      <c r="B5" s="4" t="s">
        <v>43</v>
      </c>
      <c r="C5" s="4" t="n">
        <v>85</v>
      </c>
      <c r="D5" s="4" t="n">
        <v>10</v>
      </c>
      <c r="E5" s="4" t="n">
        <v>5</v>
      </c>
      <c r="F5" s="4" t="s">
        <v>286</v>
      </c>
      <c r="G5" s="4" t="s">
        <v>287</v>
      </c>
    </row>
    <row r="6" customFormat="false" ht="15" hidden="false" customHeight="false" outlineLevel="0" collapsed="false">
      <c r="A6" s="4" t="s">
        <v>20</v>
      </c>
      <c r="B6" s="4" t="s">
        <v>288</v>
      </c>
      <c r="C6" s="4" t="n">
        <v>80</v>
      </c>
      <c r="D6" s="4" t="n">
        <v>10</v>
      </c>
      <c r="E6" s="4" t="n">
        <v>10</v>
      </c>
      <c r="F6" s="4" t="s">
        <v>289</v>
      </c>
      <c r="G6" s="4" t="s">
        <v>290</v>
      </c>
    </row>
    <row r="7" customFormat="false" ht="15" hidden="false" customHeight="false" outlineLevel="0" collapsed="false">
      <c r="A7" s="4" t="s">
        <v>156</v>
      </c>
      <c r="B7" s="4" t="s">
        <v>43</v>
      </c>
      <c r="C7" s="4" t="n">
        <v>85</v>
      </c>
      <c r="D7" s="4" t="n">
        <v>10</v>
      </c>
      <c r="E7" s="4" t="n">
        <v>5</v>
      </c>
      <c r="F7" s="4" t="s">
        <v>291</v>
      </c>
      <c r="G7" s="4"/>
    </row>
    <row r="8" customFormat="false" ht="15" hidden="false" customHeight="false" outlineLevel="0" collapsed="false">
      <c r="A8" s="4" t="s">
        <v>27</v>
      </c>
      <c r="B8" s="4" t="s">
        <v>43</v>
      </c>
      <c r="C8" s="4" t="n">
        <v>80</v>
      </c>
      <c r="D8" s="4" t="n">
        <v>10</v>
      </c>
      <c r="E8" s="4" t="n">
        <v>10</v>
      </c>
      <c r="F8" s="4" t="s">
        <v>292</v>
      </c>
      <c r="G8" s="4" t="s">
        <v>293</v>
      </c>
    </row>
    <row r="9" customFormat="false" ht="15" hidden="false" customHeight="false" outlineLevel="0" collapsed="false">
      <c r="A9" s="4" t="s">
        <v>185</v>
      </c>
      <c r="B9" s="4" t="s">
        <v>294</v>
      </c>
      <c r="C9" s="4" t="n">
        <v>75</v>
      </c>
      <c r="D9" s="4" t="n">
        <v>15</v>
      </c>
      <c r="E9" s="4" t="n">
        <v>10</v>
      </c>
      <c r="F9" s="4" t="s">
        <v>295</v>
      </c>
      <c r="G9" s="4"/>
    </row>
    <row r="10" customFormat="false" ht="15" hidden="false" customHeight="false" outlineLevel="0" collapsed="false">
      <c r="A10" s="4" t="s">
        <v>33</v>
      </c>
      <c r="B10" s="4" t="s">
        <v>296</v>
      </c>
      <c r="C10" s="4" t="n">
        <v>75</v>
      </c>
      <c r="D10" s="4" t="n">
        <v>15</v>
      </c>
      <c r="E10" s="4" t="n">
        <v>10</v>
      </c>
      <c r="F10" s="4" t="s">
        <v>297</v>
      </c>
      <c r="G10" s="4" t="s">
        <v>298</v>
      </c>
    </row>
    <row r="11" customFormat="false" ht="15" hidden="false" customHeight="false" outlineLevel="0" collapsed="false">
      <c r="A11" s="4" t="s">
        <v>213</v>
      </c>
      <c r="B11" s="4" t="s">
        <v>299</v>
      </c>
      <c r="C11" s="4" t="n">
        <v>50</v>
      </c>
      <c r="D11" s="4" t="n">
        <v>10</v>
      </c>
      <c r="E11" s="4" t="n">
        <v>40</v>
      </c>
      <c r="F11" s="4" t="s">
        <v>300</v>
      </c>
      <c r="G11" s="4"/>
    </row>
    <row r="12" customFormat="false" ht="15" hidden="false" customHeight="false" outlineLevel="0" collapsed="false">
      <c r="A12" s="4" t="s">
        <v>238</v>
      </c>
      <c r="B12" s="4" t="s">
        <v>301</v>
      </c>
      <c r="C12" s="4" t="n">
        <v>35</v>
      </c>
      <c r="D12" s="4" t="n">
        <v>30</v>
      </c>
      <c r="E12" s="4" t="n">
        <v>35</v>
      </c>
      <c r="F12" s="4" t="s">
        <v>302</v>
      </c>
      <c r="G12" s="4"/>
    </row>
    <row r="13" customFormat="false" ht="15" hidden="false" customHeight="false" outlineLevel="0" collapsed="false">
      <c r="A13" s="4" t="s">
        <v>39</v>
      </c>
      <c r="B13" s="4" t="s">
        <v>303</v>
      </c>
      <c r="C13" s="4" t="n">
        <v>25</v>
      </c>
      <c r="D13" s="4" t="n">
        <v>45</v>
      </c>
      <c r="E13" s="4" t="n">
        <v>30</v>
      </c>
      <c r="F13" s="4" t="s">
        <v>304</v>
      </c>
      <c r="G13" s="4" t="s">
        <v>305</v>
      </c>
    </row>
    <row r="14" customFormat="false" ht="15" hidden="false" customHeight="false" outlineLevel="0" collapsed="false">
      <c r="A14" s="4" t="s">
        <v>45</v>
      </c>
      <c r="B14" s="4" t="s">
        <v>306</v>
      </c>
      <c r="C14" s="4" t="n">
        <v>25</v>
      </c>
      <c r="D14" s="4" t="n">
        <v>20</v>
      </c>
      <c r="E14" s="4" t="n">
        <v>55</v>
      </c>
      <c r="F14" s="4" t="s">
        <v>307</v>
      </c>
      <c r="G14" s="4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2" t="s">
        <v>309</v>
      </c>
      <c r="B1" s="2" t="s">
        <v>310</v>
      </c>
      <c r="C1" s="2" t="s">
        <v>311</v>
      </c>
      <c r="D1" s="2" t="s">
        <v>64</v>
      </c>
      <c r="E1" s="2" t="s">
        <v>312</v>
      </c>
    </row>
    <row r="2" customFormat="false" ht="15" hidden="false" customHeight="false" outlineLevel="0" collapsed="false">
      <c r="A2" s="4" t="s">
        <v>313</v>
      </c>
      <c r="B2" s="4" t="s">
        <v>314</v>
      </c>
      <c r="C2" s="4" t="s">
        <v>315</v>
      </c>
      <c r="D2" s="4" t="s">
        <v>316</v>
      </c>
      <c r="E2" s="4" t="s">
        <v>317</v>
      </c>
    </row>
    <row r="3" customFormat="false" ht="15" hidden="false" customHeight="false" outlineLevel="0" collapsed="false">
      <c r="A3" s="4" t="s">
        <v>313</v>
      </c>
      <c r="B3" s="4" t="s">
        <v>314</v>
      </c>
      <c r="C3" s="4" t="s">
        <v>318</v>
      </c>
      <c r="D3" s="4" t="s">
        <v>316</v>
      </c>
      <c r="E3" s="4" t="s">
        <v>319</v>
      </c>
    </row>
    <row r="4" customFormat="false" ht="15" hidden="false" customHeight="false" outlineLevel="0" collapsed="false">
      <c r="A4" s="4" t="s">
        <v>313</v>
      </c>
      <c r="B4" s="4" t="s">
        <v>314</v>
      </c>
      <c r="C4" s="4" t="s">
        <v>320</v>
      </c>
      <c r="D4" s="4" t="s">
        <v>316</v>
      </c>
      <c r="E4" s="4" t="s">
        <v>321</v>
      </c>
    </row>
    <row r="5" customFormat="false" ht="15" hidden="false" customHeight="false" outlineLevel="0" collapsed="false">
      <c r="A5" s="4" t="s">
        <v>322</v>
      </c>
      <c r="B5" s="4" t="s">
        <v>139</v>
      </c>
      <c r="C5" s="4" t="s">
        <v>323</v>
      </c>
      <c r="D5" s="4" t="s">
        <v>316</v>
      </c>
      <c r="E5" s="4" t="s">
        <v>324</v>
      </c>
    </row>
    <row r="6" customFormat="false" ht="15" hidden="false" customHeight="false" outlineLevel="0" collapsed="false">
      <c r="A6" s="4" t="s">
        <v>322</v>
      </c>
      <c r="B6" s="4" t="s">
        <v>139</v>
      </c>
      <c r="C6" s="4" t="s">
        <v>325</v>
      </c>
      <c r="D6" s="4" t="s">
        <v>316</v>
      </c>
      <c r="E6" s="4" t="s">
        <v>326</v>
      </c>
    </row>
    <row r="7" customFormat="false" ht="15" hidden="false" customHeight="false" outlineLevel="0" collapsed="false">
      <c r="A7" s="4" t="s">
        <v>327</v>
      </c>
      <c r="B7" s="4" t="s">
        <v>328</v>
      </c>
      <c r="C7" s="4" t="s">
        <v>329</v>
      </c>
      <c r="D7" s="4" t="s">
        <v>316</v>
      </c>
      <c r="E7" s="4" t="s">
        <v>330</v>
      </c>
    </row>
    <row r="8" customFormat="false" ht="15" hidden="false" customHeight="false" outlineLevel="0" collapsed="false">
      <c r="A8" s="4" t="s">
        <v>327</v>
      </c>
      <c r="B8" s="4" t="s">
        <v>328</v>
      </c>
      <c r="C8" s="4" t="s">
        <v>331</v>
      </c>
      <c r="D8" s="4" t="s">
        <v>316</v>
      </c>
      <c r="E8" s="4" t="s">
        <v>332</v>
      </c>
    </row>
    <row r="9" customFormat="false" ht="15" hidden="false" customHeight="false" outlineLevel="0" collapsed="false">
      <c r="A9" s="4" t="s">
        <v>333</v>
      </c>
      <c r="B9" s="4" t="s">
        <v>334</v>
      </c>
      <c r="C9" s="4" t="s">
        <v>335</v>
      </c>
      <c r="D9" s="4" t="s">
        <v>316</v>
      </c>
      <c r="E9" s="4" t="s">
        <v>336</v>
      </c>
    </row>
    <row r="10" customFormat="false" ht="15" hidden="false" customHeight="false" outlineLevel="0" collapsed="false">
      <c r="A10" s="4" t="s">
        <v>333</v>
      </c>
      <c r="B10" s="4" t="s">
        <v>334</v>
      </c>
      <c r="C10" s="4" t="s">
        <v>337</v>
      </c>
      <c r="D10" s="4" t="s">
        <v>338</v>
      </c>
      <c r="E10" s="4" t="s">
        <v>339</v>
      </c>
    </row>
    <row r="11" customFormat="false" ht="15" hidden="false" customHeight="false" outlineLevel="0" collapsed="false">
      <c r="A11" s="4" t="s">
        <v>340</v>
      </c>
      <c r="B11" s="4" t="s">
        <v>192</v>
      </c>
      <c r="C11" s="4" t="s">
        <v>341</v>
      </c>
      <c r="D11" s="4" t="s">
        <v>316</v>
      </c>
      <c r="E11" s="4" t="s">
        <v>342</v>
      </c>
    </row>
    <row r="12" customFormat="false" ht="15" hidden="false" customHeight="false" outlineLevel="0" collapsed="false">
      <c r="A12" s="4" t="s">
        <v>340</v>
      </c>
      <c r="B12" s="4" t="s">
        <v>202</v>
      </c>
      <c r="C12" s="4" t="s">
        <v>343</v>
      </c>
      <c r="D12" s="4" t="s">
        <v>316</v>
      </c>
      <c r="E12" s="4" t="s">
        <v>344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" t="s">
        <v>345</v>
      </c>
      <c r="B1" s="2" t="s">
        <v>346</v>
      </c>
      <c r="C1" s="2" t="s">
        <v>347</v>
      </c>
      <c r="D1" s="2" t="s">
        <v>348</v>
      </c>
      <c r="E1" s="2" t="s">
        <v>10</v>
      </c>
    </row>
    <row r="2" customFormat="false" ht="28.35" hidden="false" customHeight="false" outlineLevel="0" collapsed="false">
      <c r="A2" s="4" t="s">
        <v>349</v>
      </c>
      <c r="B2" s="4" t="s">
        <v>350</v>
      </c>
      <c r="C2" s="4" t="s">
        <v>351</v>
      </c>
      <c r="D2" s="4" t="s">
        <v>352</v>
      </c>
      <c r="E2" s="4" t="s">
        <v>353</v>
      </c>
    </row>
    <row r="3" customFormat="false" ht="15" hidden="false" customHeight="false" outlineLevel="0" collapsed="false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</row>
    <row r="4" customFormat="false" ht="15" hidden="false" customHeight="false" outlineLevel="0" collapsed="false">
      <c r="A4" s="4" t="s">
        <v>359</v>
      </c>
      <c r="B4" s="4" t="s">
        <v>360</v>
      </c>
      <c r="C4" s="4" t="s">
        <v>361</v>
      </c>
      <c r="D4" s="4" t="s">
        <v>362</v>
      </c>
      <c r="E4" s="4" t="s">
        <v>363</v>
      </c>
    </row>
    <row r="5" customFormat="false" ht="15" hidden="false" customHeight="false" outlineLevel="0" collapsed="false">
      <c r="A5" s="4" t="s">
        <v>364</v>
      </c>
      <c r="B5" s="4" t="s">
        <v>365</v>
      </c>
      <c r="C5" s="4" t="s">
        <v>366</v>
      </c>
      <c r="D5" s="4" t="s">
        <v>367</v>
      </c>
      <c r="E5" s="4" t="s">
        <v>368</v>
      </c>
    </row>
    <row r="6" customFormat="false" ht="28.35" hidden="false" customHeight="false" outlineLevel="0" collapsed="false">
      <c r="A6" s="4" t="s">
        <v>369</v>
      </c>
      <c r="B6" s="4" t="s">
        <v>370</v>
      </c>
      <c r="C6" s="4" t="s">
        <v>371</v>
      </c>
      <c r="D6" s="4" t="s">
        <v>372</v>
      </c>
      <c r="E6" s="4" t="s">
        <v>373</v>
      </c>
    </row>
    <row r="7" customFormat="false" ht="15" hidden="false" customHeight="false" outlineLevel="0" collapsed="false">
      <c r="A7" s="4" t="s">
        <v>374</v>
      </c>
      <c r="B7" s="4" t="s">
        <v>375</v>
      </c>
      <c r="C7" s="4" t="s">
        <v>376</v>
      </c>
      <c r="D7" s="4" t="s">
        <v>377</v>
      </c>
      <c r="E7" s="4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55"/>
  </cols>
  <sheetData>
    <row r="1" customFormat="false" ht="15" hidden="false" customHeight="false" outlineLevel="0" collapsed="false">
      <c r="A1" s="2" t="s">
        <v>4</v>
      </c>
      <c r="B1" s="2" t="s">
        <v>378</v>
      </c>
      <c r="C1" s="2" t="s">
        <v>379</v>
      </c>
      <c r="D1" s="2" t="s">
        <v>380</v>
      </c>
      <c r="E1" s="2" t="s">
        <v>381</v>
      </c>
    </row>
    <row r="2" customFormat="false" ht="28.35" hidden="false" customHeight="false" outlineLevel="0" collapsed="false">
      <c r="A2" s="4" t="s">
        <v>382</v>
      </c>
      <c r="B2" s="4" t="s">
        <v>383</v>
      </c>
      <c r="C2" s="4" t="s">
        <v>384</v>
      </c>
      <c r="D2" s="4" t="s">
        <v>385</v>
      </c>
      <c r="E2" s="4" t="s">
        <v>386</v>
      </c>
    </row>
    <row r="3" customFormat="false" ht="15" hidden="false" customHeight="false" outlineLevel="0" collapsed="false">
      <c r="A3" s="4" t="s">
        <v>382</v>
      </c>
      <c r="B3" s="4" t="s">
        <v>383</v>
      </c>
      <c r="C3" s="4" t="s">
        <v>387</v>
      </c>
      <c r="D3" s="4" t="s">
        <v>388</v>
      </c>
      <c r="E3" s="4" t="s">
        <v>389</v>
      </c>
    </row>
    <row r="4" customFormat="false" ht="15" hidden="false" customHeight="false" outlineLevel="0" collapsed="false">
      <c r="A4" s="4" t="s">
        <v>382</v>
      </c>
      <c r="B4" s="4" t="s">
        <v>390</v>
      </c>
      <c r="C4" s="4" t="s">
        <v>384</v>
      </c>
      <c r="D4" s="4" t="s">
        <v>391</v>
      </c>
      <c r="E4" s="4" t="s">
        <v>392</v>
      </c>
    </row>
    <row r="5" customFormat="false" ht="15" hidden="false" customHeight="false" outlineLevel="0" collapsed="false">
      <c r="A5" s="4" t="s">
        <v>382</v>
      </c>
      <c r="B5" s="4" t="s">
        <v>393</v>
      </c>
      <c r="C5" s="4" t="s">
        <v>394</v>
      </c>
      <c r="D5" s="4" t="s">
        <v>395</v>
      </c>
      <c r="E5" s="4" t="s">
        <v>396</v>
      </c>
    </row>
    <row r="6" customFormat="false" ht="15" hidden="false" customHeight="false" outlineLevel="0" collapsed="false">
      <c r="A6" s="4" t="s">
        <v>382</v>
      </c>
      <c r="B6" s="4" t="s">
        <v>390</v>
      </c>
      <c r="C6" s="4" t="s">
        <v>397</v>
      </c>
      <c r="D6" s="4" t="s">
        <v>398</v>
      </c>
      <c r="E6" s="4" t="s">
        <v>399</v>
      </c>
    </row>
    <row r="7" customFormat="false" ht="15" hidden="false" customHeight="false" outlineLevel="0" collapsed="false">
      <c r="A7" s="4" t="s">
        <v>400</v>
      </c>
      <c r="B7" s="4" t="s">
        <v>72</v>
      </c>
      <c r="C7" s="4" t="s">
        <v>401</v>
      </c>
      <c r="D7" s="4" t="s">
        <v>402</v>
      </c>
      <c r="E7" s="4" t="s">
        <v>403</v>
      </c>
    </row>
    <row r="8" customFormat="false" ht="15" hidden="false" customHeight="false" outlineLevel="0" collapsed="false">
      <c r="A8" s="4" t="s">
        <v>404</v>
      </c>
      <c r="B8" s="4" t="s">
        <v>72</v>
      </c>
      <c r="C8" s="4" t="s">
        <v>405</v>
      </c>
      <c r="D8" s="4" t="s">
        <v>406</v>
      </c>
      <c r="E8" s="4" t="s">
        <v>407</v>
      </c>
    </row>
    <row r="9" customFormat="false" ht="15" hidden="false" customHeight="false" outlineLevel="0" collapsed="false">
      <c r="A9" s="4" t="s">
        <v>404</v>
      </c>
      <c r="B9" s="4" t="s">
        <v>72</v>
      </c>
      <c r="C9" s="4" t="s">
        <v>408</v>
      </c>
      <c r="D9" s="4" t="s">
        <v>409</v>
      </c>
      <c r="E9" s="4" t="s">
        <v>410</v>
      </c>
    </row>
    <row r="10" customFormat="false" ht="15" hidden="false" customHeight="false" outlineLevel="0" collapsed="false">
      <c r="A10" s="4" t="s">
        <v>411</v>
      </c>
      <c r="B10" s="4" t="s">
        <v>72</v>
      </c>
      <c r="C10" s="4" t="s">
        <v>412</v>
      </c>
      <c r="D10" s="4" t="s">
        <v>413</v>
      </c>
      <c r="E10" s="4" t="s">
        <v>414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65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2" t="s">
        <v>415</v>
      </c>
      <c r="B1" s="2" t="s">
        <v>416</v>
      </c>
      <c r="C1" s="2" t="s">
        <v>417</v>
      </c>
      <c r="D1" s="2" t="s">
        <v>418</v>
      </c>
    </row>
    <row r="2" customFormat="false" ht="28.35" hidden="false" customHeight="false" outlineLevel="0" collapsed="false">
      <c r="A2" s="4" t="s">
        <v>273</v>
      </c>
      <c r="B2" s="4" t="s">
        <v>419</v>
      </c>
      <c r="C2" s="4" t="s">
        <v>420</v>
      </c>
      <c r="D2" s="4" t="s">
        <v>421</v>
      </c>
    </row>
    <row r="3" customFormat="false" ht="28.35" hidden="false" customHeight="false" outlineLevel="0" collapsed="false">
      <c r="A3" s="4" t="s">
        <v>95</v>
      </c>
      <c r="B3" s="4" t="s">
        <v>422</v>
      </c>
      <c r="C3" s="4" t="s">
        <v>423</v>
      </c>
      <c r="D3" s="4" t="s">
        <v>424</v>
      </c>
    </row>
    <row r="4" customFormat="false" ht="15" hidden="false" customHeight="false" outlineLevel="0" collapsed="false">
      <c r="A4" s="4" t="s">
        <v>217</v>
      </c>
      <c r="B4" s="4" t="s">
        <v>425</v>
      </c>
      <c r="C4" s="4" t="s">
        <v>426</v>
      </c>
      <c r="D4" s="4" t="s">
        <v>427</v>
      </c>
    </row>
    <row r="5" customFormat="false" ht="41.75" hidden="false" customHeight="false" outlineLevel="0" collapsed="false">
      <c r="A5" s="4" t="s">
        <v>81</v>
      </c>
      <c r="B5" s="4" t="s">
        <v>428</v>
      </c>
      <c r="C5" s="4" t="s">
        <v>429</v>
      </c>
      <c r="D5" s="4" t="s">
        <v>430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7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" t="s">
        <v>61</v>
      </c>
      <c r="B1" s="2" t="s">
        <v>431</v>
      </c>
      <c r="C1" s="2" t="s">
        <v>432</v>
      </c>
      <c r="D1" s="2" t="s">
        <v>9</v>
      </c>
    </row>
    <row r="2" customFormat="false" ht="15" hidden="false" customHeight="false" outlineLevel="0" collapsed="false">
      <c r="A2" s="4" t="s">
        <v>433</v>
      </c>
      <c r="B2" s="4" t="s">
        <v>434</v>
      </c>
      <c r="C2" s="4" t="s">
        <v>435</v>
      </c>
      <c r="D2" s="4" t="s">
        <v>436</v>
      </c>
    </row>
    <row r="3" customFormat="false" ht="15" hidden="false" customHeight="false" outlineLevel="0" collapsed="false">
      <c r="A3" s="4" t="s">
        <v>437</v>
      </c>
      <c r="B3" s="4" t="s">
        <v>438</v>
      </c>
      <c r="C3" s="4" t="s">
        <v>439</v>
      </c>
      <c r="D3" s="4" t="s">
        <v>440</v>
      </c>
    </row>
    <row r="4" customFormat="false" ht="15" hidden="false" customHeight="false" outlineLevel="0" collapsed="false">
      <c r="A4" s="4" t="s">
        <v>441</v>
      </c>
      <c r="B4" s="4" t="s">
        <v>442</v>
      </c>
      <c r="C4" s="4" t="s">
        <v>443</v>
      </c>
      <c r="D4" s="4" t="s">
        <v>440</v>
      </c>
    </row>
    <row r="5" customFormat="false" ht="15" hidden="false" customHeight="false" outlineLevel="0" collapsed="false">
      <c r="A5" s="4" t="s">
        <v>444</v>
      </c>
      <c r="B5" s="4" t="s">
        <v>445</v>
      </c>
      <c r="C5" s="4" t="s">
        <v>446</v>
      </c>
      <c r="D5" s="4" t="s">
        <v>440</v>
      </c>
    </row>
    <row r="6" customFormat="false" ht="15" hidden="false" customHeight="false" outlineLevel="0" collapsed="false">
      <c r="A6" s="4" t="s">
        <v>447</v>
      </c>
      <c r="B6" s="4" t="s">
        <v>448</v>
      </c>
      <c r="C6" s="4" t="s">
        <v>449</v>
      </c>
      <c r="D6" s="4" t="s">
        <v>440</v>
      </c>
    </row>
    <row r="7" customFormat="false" ht="15" hidden="false" customHeight="false" outlineLevel="0" collapsed="false">
      <c r="A7" s="4" t="s">
        <v>450</v>
      </c>
      <c r="B7" s="4" t="s">
        <v>451</v>
      </c>
      <c r="C7" s="4" t="s">
        <v>452</v>
      </c>
      <c r="D7" s="4" t="s">
        <v>436</v>
      </c>
    </row>
    <row r="8" customFormat="false" ht="15" hidden="false" customHeight="false" outlineLevel="0" collapsed="false">
      <c r="A8" s="4" t="s">
        <v>453</v>
      </c>
      <c r="B8" s="4" t="s">
        <v>454</v>
      </c>
      <c r="C8" s="4" t="s">
        <v>455</v>
      </c>
      <c r="D8" s="4" t="s">
        <v>436</v>
      </c>
    </row>
    <row r="9" customFormat="false" ht="15" hidden="false" customHeight="false" outlineLevel="0" collapsed="false">
      <c r="A9" s="4" t="s">
        <v>456</v>
      </c>
      <c r="B9" s="4" t="s">
        <v>457</v>
      </c>
      <c r="C9" s="4" t="s">
        <v>458</v>
      </c>
      <c r="D9" s="4" t="s">
        <v>436</v>
      </c>
    </row>
    <row r="10" customFormat="false" ht="15" hidden="false" customHeight="false" outlineLevel="0" collapsed="false">
      <c r="A10" s="4" t="s">
        <v>459</v>
      </c>
      <c r="B10" s="4" t="s">
        <v>460</v>
      </c>
      <c r="C10" s="4" t="s">
        <v>461</v>
      </c>
      <c r="D10" s="4" t="s">
        <v>436</v>
      </c>
    </row>
    <row r="11" customFormat="false" ht="15" hidden="false" customHeight="false" outlineLevel="0" collapsed="false">
      <c r="A11" s="4" t="s">
        <v>462</v>
      </c>
      <c r="B11" s="4" t="s">
        <v>463</v>
      </c>
      <c r="C11" s="4" t="s">
        <v>464</v>
      </c>
      <c r="D11" s="4" t="s">
        <v>440</v>
      </c>
    </row>
    <row r="12" customFormat="false" ht="15" hidden="false" customHeight="false" outlineLevel="0" collapsed="false">
      <c r="A12" s="4" t="s">
        <v>465</v>
      </c>
      <c r="B12" s="4" t="s">
        <v>192</v>
      </c>
      <c r="C12" s="4" t="s">
        <v>466</v>
      </c>
      <c r="D12" s="4" t="s">
        <v>440</v>
      </c>
    </row>
    <row r="13" customFormat="false" ht="15" hidden="false" customHeight="false" outlineLevel="0" collapsed="false">
      <c r="A13" s="4" t="s">
        <v>467</v>
      </c>
      <c r="B13" s="4" t="s">
        <v>202</v>
      </c>
      <c r="C13" s="4" t="s">
        <v>468</v>
      </c>
      <c r="D13" s="4" t="s">
        <v>440</v>
      </c>
    </row>
    <row r="14" customFormat="false" ht="15" hidden="false" customHeight="false" outlineLevel="0" collapsed="false">
      <c r="A14" s="4" t="s">
        <v>469</v>
      </c>
      <c r="B14" s="4" t="s">
        <v>470</v>
      </c>
      <c r="C14" s="4" t="s">
        <v>471</v>
      </c>
      <c r="D14" s="4" t="s">
        <v>436</v>
      </c>
    </row>
    <row r="15" customFormat="false" ht="15" hidden="false" customHeight="false" outlineLevel="0" collapsed="false">
      <c r="A15" s="4" t="s">
        <v>472</v>
      </c>
      <c r="B15" s="4" t="s">
        <v>220</v>
      </c>
      <c r="C15" s="4" t="s">
        <v>473</v>
      </c>
      <c r="D15" s="4" t="s">
        <v>440</v>
      </c>
    </row>
    <row r="16" customFormat="false" ht="15" hidden="false" customHeight="false" outlineLevel="0" collapsed="false">
      <c r="A16" s="4" t="s">
        <v>474</v>
      </c>
      <c r="B16" s="4" t="s">
        <v>475</v>
      </c>
      <c r="C16" s="4" t="s">
        <v>476</v>
      </c>
      <c r="D16" s="4" t="s">
        <v>440</v>
      </c>
    </row>
  </sheetData>
  <autoFilter ref="A1:D16"/>
  <conditionalFormatting sqref="D2:D16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0">
      <formula>"Aprovado"</formula>
    </cfRule>
    <cfRule type="cellIs" priority="4" operator="equal" aboveAverage="0" equalAverage="0" bottom="0" percent="0" rank="0" text="" dxfId="1">
      <formula>"Em andamento"</formula>
    </cfRule>
    <cfRule type="cellIs" priority="5" operator="equal" aboveAverage="0" equalAverage="0" bottom="0" percent="0" rank="0" text="" dxfId="2">
      <formula>"Bloqueado"</formula>
    </cfRule>
    <cfRule type="cellIs" priority="6" operator="equal" aboveAverage="0" equalAverage="0" bottom="0" percent="0" rank="0" text="" dxfId="2">
      <formula>"Reprovado"</formula>
    </cfRule>
  </conditionalFormatting>
  <dataValidations count="1">
    <dataValidation allowBlank="true" errorStyle="stop" operator="between" showDropDown="false" showErrorMessage="false" showInputMessage="false" sqref="D2:D16" type="list">
      <formula1>"Não executado,Aprovado,Reprovado,Bloqueado"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8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" t="s">
        <v>477</v>
      </c>
      <c r="B1" s="2" t="s">
        <v>478</v>
      </c>
      <c r="C1" s="2" t="s">
        <v>479</v>
      </c>
      <c r="D1" s="2" t="s">
        <v>9</v>
      </c>
    </row>
    <row r="2" customFormat="false" ht="15" hidden="false" customHeight="false" outlineLevel="0" collapsed="false">
      <c r="A2" s="4" t="s">
        <v>480</v>
      </c>
      <c r="B2" s="4" t="s">
        <v>481</v>
      </c>
      <c r="C2" s="4" t="s">
        <v>73</v>
      </c>
      <c r="D2" s="4" t="s">
        <v>23</v>
      </c>
    </row>
    <row r="3" customFormat="false" ht="15" hidden="false" customHeight="false" outlineLevel="0" collapsed="false">
      <c r="A3" s="4" t="s">
        <v>482</v>
      </c>
      <c r="B3" s="4" t="s">
        <v>483</v>
      </c>
      <c r="C3" s="4" t="s">
        <v>81</v>
      </c>
      <c r="D3" s="4" t="s">
        <v>23</v>
      </c>
    </row>
    <row r="4" customFormat="false" ht="15" hidden="false" customHeight="false" outlineLevel="0" collapsed="false">
      <c r="A4" s="4" t="s">
        <v>484</v>
      </c>
      <c r="B4" s="4" t="s">
        <v>485</v>
      </c>
      <c r="C4" s="4" t="s">
        <v>81</v>
      </c>
      <c r="D4" s="4" t="s">
        <v>23</v>
      </c>
    </row>
    <row r="5" customFormat="false" ht="15" hidden="false" customHeight="false" outlineLevel="0" collapsed="false">
      <c r="A5" s="4" t="s">
        <v>43</v>
      </c>
      <c r="B5" s="4" t="s">
        <v>486</v>
      </c>
      <c r="C5" s="4" t="s">
        <v>95</v>
      </c>
      <c r="D5" s="4" t="s">
        <v>16</v>
      </c>
    </row>
    <row r="6" customFormat="false" ht="15" hidden="false" customHeight="false" outlineLevel="0" collapsed="false">
      <c r="A6" s="4" t="s">
        <v>487</v>
      </c>
      <c r="B6" s="4" t="s">
        <v>488</v>
      </c>
      <c r="C6" s="4" t="s">
        <v>95</v>
      </c>
      <c r="D6" s="4" t="s">
        <v>23</v>
      </c>
    </row>
    <row r="7" customFormat="false" ht="15" hidden="false" customHeight="false" outlineLevel="0" collapsed="false">
      <c r="A7" s="4" t="s">
        <v>489</v>
      </c>
      <c r="B7" s="4" t="s">
        <v>490</v>
      </c>
      <c r="C7" s="4" t="s">
        <v>95</v>
      </c>
      <c r="D7" s="4" t="s">
        <v>23</v>
      </c>
    </row>
    <row r="8" customFormat="false" ht="15" hidden="false" customHeight="false" outlineLevel="0" collapsed="false">
      <c r="A8" s="4" t="s">
        <v>491</v>
      </c>
      <c r="B8" s="4" t="s">
        <v>492</v>
      </c>
      <c r="C8" s="4" t="s">
        <v>493</v>
      </c>
      <c r="D8" s="4" t="s">
        <v>16</v>
      </c>
    </row>
    <row r="9" customFormat="false" ht="15" hidden="false" customHeight="false" outlineLevel="0" collapsed="false">
      <c r="A9" s="4" t="s">
        <v>494</v>
      </c>
      <c r="B9" s="4" t="s">
        <v>495</v>
      </c>
      <c r="C9" s="4" t="s">
        <v>81</v>
      </c>
      <c r="D9" s="4" t="s">
        <v>57</v>
      </c>
    </row>
    <row r="10" customFormat="false" ht="15" hidden="false" customHeight="false" outlineLevel="0" collapsed="false">
      <c r="A10" s="4" t="s">
        <v>496</v>
      </c>
      <c r="B10" s="4" t="s">
        <v>497</v>
      </c>
      <c r="C10" s="4" t="s">
        <v>81</v>
      </c>
      <c r="D10" s="4" t="s">
        <v>16</v>
      </c>
    </row>
    <row r="11" customFormat="false" ht="15" hidden="false" customHeight="false" outlineLevel="0" collapsed="false">
      <c r="A11" s="4" t="s">
        <v>498</v>
      </c>
      <c r="B11" s="4" t="s">
        <v>499</v>
      </c>
      <c r="C11" s="4" t="s">
        <v>273</v>
      </c>
      <c r="D11" s="4" t="s">
        <v>16</v>
      </c>
    </row>
    <row r="12" customFormat="false" ht="15" hidden="false" customHeight="false" outlineLevel="0" collapsed="false">
      <c r="A12" s="4" t="s">
        <v>500</v>
      </c>
      <c r="B12" s="4" t="s">
        <v>501</v>
      </c>
      <c r="C12" s="4" t="s">
        <v>31</v>
      </c>
      <c r="D12" s="4" t="s">
        <v>57</v>
      </c>
    </row>
  </sheetData>
  <autoFilter ref="A1:D12"/>
  <conditionalFormatting sqref="D2:D12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0">
      <formula>"Aprovado"</formula>
    </cfRule>
    <cfRule type="cellIs" priority="4" operator="equal" aboveAverage="0" equalAverage="0" bottom="0" percent="0" rank="0" text="" dxfId="1">
      <formula>"Em andamento"</formula>
    </cfRule>
    <cfRule type="cellIs" priority="5" operator="equal" aboveAverage="0" equalAverage="0" bottom="0" percent="0" rank="0" text="" dxfId="2">
      <formula>"Bloqueado"</formula>
    </cfRule>
    <cfRule type="cellIs" priority="6" operator="equal" aboveAverage="0" equalAverage="0" bottom="0" percent="0" rank="0" text="" dxfId="2">
      <formula>"Reprovado"</formula>
    </cfRule>
  </conditionalFormatting>
  <dataValidations count="1">
    <dataValidation allowBlank="true" errorStyle="stop" operator="between" showDropDown="false" showErrorMessage="false" showInputMessage="false" sqref="D2:D12" type="list">
      <formula1>"Não iniciado,Em andamento,Bloqueado,Concluído"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72"/>
  </cols>
  <sheetData>
    <row r="1" customFormat="false" ht="15" hidden="false" customHeight="false" outlineLevel="0" collapsed="false">
      <c r="A1" s="2" t="s">
        <v>502</v>
      </c>
      <c r="B1" s="2" t="s">
        <v>503</v>
      </c>
    </row>
    <row r="2" customFormat="false" ht="15" hidden="false" customHeight="false" outlineLevel="0" collapsed="false">
      <c r="A2" s="4" t="s">
        <v>504</v>
      </c>
      <c r="B2" s="4" t="s">
        <v>505</v>
      </c>
    </row>
    <row r="3" customFormat="false" ht="15" hidden="false" customHeight="false" outlineLevel="0" collapsed="false">
      <c r="A3" s="4" t="s">
        <v>506</v>
      </c>
      <c r="B3" s="4" t="s">
        <v>507</v>
      </c>
    </row>
    <row r="4" customFormat="false" ht="15" hidden="false" customHeight="false" outlineLevel="0" collapsed="false">
      <c r="A4" s="4" t="s">
        <v>508</v>
      </c>
      <c r="B4" s="4" t="s">
        <v>509</v>
      </c>
    </row>
    <row r="5" customFormat="false" ht="15" hidden="false" customHeight="false" outlineLevel="0" collapsed="false">
      <c r="A5" s="4" t="s">
        <v>510</v>
      </c>
      <c r="B5" s="4" t="s">
        <v>511</v>
      </c>
    </row>
    <row r="6" customFormat="false" ht="15" hidden="false" customHeight="false" outlineLevel="0" collapsed="false">
      <c r="A6" s="4" t="s">
        <v>512</v>
      </c>
      <c r="B6" s="4" t="s">
        <v>513</v>
      </c>
    </row>
    <row r="7" customFormat="false" ht="15" hidden="false" customHeight="false" outlineLevel="0" collapsed="false">
      <c r="A7" s="4" t="s">
        <v>514</v>
      </c>
      <c r="B7" s="4" t="s">
        <v>515</v>
      </c>
    </row>
    <row r="8" customFormat="false" ht="15" hidden="false" customHeight="false" outlineLevel="0" collapsed="false">
      <c r="A8" s="4" t="s">
        <v>516</v>
      </c>
      <c r="B8" s="4" t="s">
        <v>517</v>
      </c>
    </row>
    <row r="9" customFormat="false" ht="15" hidden="false" customHeight="false" outlineLevel="0" collapsed="false">
      <c r="A9" s="4" t="s">
        <v>518</v>
      </c>
      <c r="B9" s="4" t="s">
        <v>519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2026-10-19T12:43:07Z</dcterms:created>
  <dc:creator>openpyxl</dc:creator>
  <dc:description/>
  <dc:language>en-US</dc:language>
  <cp:lastModifiedBy/>
  <dcterms:modified xsi:type="dcterms:W3CDTF">2026-10-19T12:43:07Z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